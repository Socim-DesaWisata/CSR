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laragon\www\CSR\"/>
    </mc:Choice>
  </mc:AlternateContent>
  <xr:revisionPtr revIDLastSave="0" documentId="13_ncr:1_{CCF20CE7-24E5-4E41-AD7F-FBB0F94433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65" i="1" l="1"/>
  <c r="L365" i="1"/>
  <c r="Z364" i="1"/>
  <c r="L364" i="1"/>
  <c r="Z363" i="1"/>
  <c r="L363" i="1"/>
  <c r="Z362" i="1"/>
  <c r="L362" i="1"/>
  <c r="Z361" i="1"/>
  <c r="L361" i="1"/>
  <c r="Z360" i="1"/>
  <c r="L360" i="1"/>
  <c r="Z359" i="1"/>
  <c r="D356" i="1"/>
  <c r="D355" i="1"/>
  <c r="Z353" i="1"/>
  <c r="L353" i="1"/>
  <c r="Z352" i="1"/>
  <c r="L352" i="1"/>
  <c r="Z351" i="1"/>
  <c r="L351" i="1"/>
  <c r="Z350" i="1"/>
  <c r="L350" i="1"/>
  <c r="Z349" i="1"/>
  <c r="L349" i="1"/>
  <c r="Z348" i="1"/>
  <c r="L348" i="1"/>
  <c r="Z347" i="1"/>
  <c r="L347" i="1"/>
  <c r="Z346" i="1"/>
  <c r="L346" i="1"/>
  <c r="Z345" i="1"/>
  <c r="L345" i="1"/>
  <c r="Z344" i="1"/>
  <c r="L344" i="1"/>
  <c r="Z343" i="1"/>
  <c r="L343" i="1"/>
  <c r="Z342" i="1"/>
  <c r="L342" i="1"/>
  <c r="Z341" i="1"/>
  <c r="L341" i="1"/>
  <c r="Z340" i="1"/>
  <c r="L340" i="1"/>
  <c r="Z339" i="1"/>
  <c r="L339" i="1"/>
  <c r="Z338" i="1"/>
  <c r="L338" i="1"/>
  <c r="Z337" i="1"/>
  <c r="L337" i="1"/>
  <c r="Z336" i="1"/>
  <c r="L336" i="1"/>
  <c r="Z335" i="1"/>
  <c r="L335" i="1"/>
  <c r="Z334" i="1"/>
  <c r="L334" i="1"/>
  <c r="Z333" i="1"/>
  <c r="L333" i="1"/>
  <c r="Z332" i="1"/>
  <c r="L332" i="1"/>
  <c r="Z331" i="1"/>
  <c r="L331" i="1"/>
  <c r="Z330" i="1"/>
  <c r="L330" i="1"/>
  <c r="Z329" i="1"/>
  <c r="L329" i="1"/>
  <c r="Z328" i="1"/>
  <c r="L328" i="1"/>
  <c r="Z327" i="1"/>
  <c r="L327" i="1"/>
  <c r="Z326" i="1"/>
  <c r="L326" i="1"/>
  <c r="Z325" i="1"/>
  <c r="L325" i="1"/>
  <c r="Z324" i="1"/>
  <c r="L324" i="1"/>
  <c r="Z323" i="1"/>
  <c r="L323" i="1"/>
  <c r="Z322" i="1"/>
  <c r="L322" i="1"/>
  <c r="Z321" i="1"/>
  <c r="L321" i="1"/>
  <c r="Z320" i="1"/>
  <c r="L320" i="1"/>
  <c r="Z319" i="1"/>
  <c r="L319" i="1"/>
  <c r="Z318" i="1"/>
  <c r="L318" i="1"/>
  <c r="Z317" i="1"/>
  <c r="L317" i="1"/>
  <c r="Z316" i="1"/>
  <c r="L316" i="1"/>
  <c r="Z315" i="1"/>
  <c r="L315" i="1"/>
  <c r="Z314" i="1"/>
  <c r="L314" i="1"/>
  <c r="Z313" i="1"/>
  <c r="L313" i="1"/>
  <c r="Z312" i="1"/>
  <c r="L312" i="1"/>
  <c r="Z311" i="1"/>
  <c r="D308" i="1"/>
  <c r="D307" i="1"/>
  <c r="Z305" i="1"/>
  <c r="Y305" i="1"/>
  <c r="X305" i="1"/>
  <c r="W305" i="1"/>
  <c r="V305" i="1"/>
  <c r="T305" i="1"/>
  <c r="L305" i="1"/>
  <c r="Z304" i="1"/>
  <c r="Z303" i="1"/>
  <c r="D300" i="1"/>
  <c r="Y298" i="1"/>
  <c r="X298" i="1"/>
  <c r="W298" i="1"/>
  <c r="V298" i="1"/>
  <c r="L298" i="1"/>
  <c r="T297" i="1"/>
  <c r="Z297" i="1" s="1"/>
  <c r="T296" i="1"/>
  <c r="Z296" i="1" s="1"/>
  <c r="D293" i="1"/>
  <c r="Y291" i="1"/>
  <c r="X291" i="1"/>
  <c r="W291" i="1"/>
  <c r="V291" i="1"/>
  <c r="Z291" i="1" s="1"/>
  <c r="T291" i="1"/>
  <c r="L291" i="1"/>
  <c r="Z290" i="1"/>
  <c r="Z289" i="1"/>
  <c r="D286" i="1"/>
  <c r="D285" i="1"/>
  <c r="Y283" i="1"/>
  <c r="X283" i="1"/>
  <c r="W283" i="1"/>
  <c r="V283" i="1"/>
  <c r="T283" i="1"/>
  <c r="Z283" i="1" s="1"/>
  <c r="L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D229" i="1"/>
  <c r="Y227" i="1"/>
  <c r="X227" i="1"/>
  <c r="W227" i="1"/>
  <c r="V227" i="1"/>
  <c r="Z227" i="1" s="1"/>
  <c r="T227" i="1"/>
  <c r="L227" i="1"/>
  <c r="Z226" i="1"/>
  <c r="Z225" i="1"/>
  <c r="Z224" i="1"/>
  <c r="Z223" i="1"/>
  <c r="Z222" i="1"/>
  <c r="D219" i="1"/>
  <c r="Y216" i="1"/>
  <c r="X216" i="1"/>
  <c r="W216" i="1"/>
  <c r="V216" i="1"/>
  <c r="T216" i="1"/>
  <c r="Z216" i="1" s="1"/>
  <c r="L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D162" i="1"/>
  <c r="Y160" i="1"/>
  <c r="X160" i="1"/>
  <c r="W160" i="1"/>
  <c r="V160" i="1"/>
  <c r="Z160" i="1" s="1"/>
  <c r="T160" i="1"/>
  <c r="L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D106" i="1"/>
  <c r="Y103" i="1"/>
  <c r="X103" i="1"/>
  <c r="W103" i="1"/>
  <c r="V103" i="1"/>
  <c r="T103" i="1"/>
  <c r="Z103" i="1" s="1"/>
  <c r="L103" i="1"/>
  <c r="Z102" i="1"/>
  <c r="D99" i="1"/>
  <c r="D98" i="1"/>
  <c r="Y96" i="1"/>
  <c r="X96" i="1"/>
  <c r="W96" i="1"/>
  <c r="V96" i="1"/>
  <c r="T96" i="1"/>
  <c r="Z96" i="1" s="1"/>
  <c r="L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D45" i="1"/>
  <c r="Y41" i="1"/>
  <c r="X41" i="1"/>
  <c r="W41" i="1"/>
  <c r="V41" i="1"/>
  <c r="T41" i="1"/>
  <c r="Z41" i="1" s="1"/>
  <c r="L41" i="1"/>
  <c r="Z40" i="1"/>
  <c r="B37" i="1"/>
  <c r="D36" i="1"/>
  <c r="Y34" i="1"/>
  <c r="X34" i="1"/>
  <c r="W34" i="1"/>
  <c r="V34" i="1"/>
  <c r="T34" i="1"/>
  <c r="Z34" i="1" s="1"/>
  <c r="L34" i="1"/>
  <c r="Z33" i="1"/>
  <c r="B30" i="1"/>
  <c r="A29" i="1"/>
  <c r="Y27" i="1"/>
  <c r="X27" i="1"/>
  <c r="W27" i="1"/>
  <c r="V27" i="1"/>
  <c r="T27" i="1"/>
  <c r="L27" i="1"/>
  <c r="Z26" i="1"/>
  <c r="Z27" i="1" s="1"/>
  <c r="B23" i="1"/>
  <c r="Y21" i="1"/>
  <c r="X21" i="1"/>
  <c r="W21" i="1"/>
  <c r="V21" i="1"/>
  <c r="T21" i="1"/>
  <c r="Z21" i="1" s="1"/>
  <c r="L21" i="1"/>
  <c r="Z20" i="1"/>
  <c r="L20" i="1"/>
  <c r="B17" i="1"/>
  <c r="A16" i="1"/>
  <c r="Y13" i="1"/>
  <c r="X13" i="1"/>
  <c r="W13" i="1"/>
  <c r="V13" i="1"/>
  <c r="T13" i="1"/>
  <c r="L13" i="1"/>
  <c r="Z12" i="1"/>
  <c r="Z13" i="1" s="1"/>
  <c r="B9" i="1"/>
  <c r="Z7" i="1"/>
  <c r="Y7" i="1"/>
  <c r="X7" i="1"/>
  <c r="W7" i="1"/>
  <c r="V7" i="1"/>
  <c r="T7" i="1"/>
  <c r="L7" i="1"/>
  <c r="Z6" i="1"/>
  <c r="B3" i="1"/>
  <c r="A2" i="1"/>
  <c r="T298" i="1" l="1"/>
  <c r="Z298" i="1" s="1"/>
</calcChain>
</file>

<file path=xl/sharedStrings.xml><?xml version="1.0" encoding="utf-8"?>
<sst xmlns="http://schemas.openxmlformats.org/spreadsheetml/2006/main" count="2626" uniqueCount="238">
  <si>
    <t>TAHUN 1</t>
  </si>
  <si>
    <t>OUTCOME :</t>
  </si>
  <si>
    <t>Stakeholder</t>
  </si>
  <si>
    <t>Profil Responden</t>
  </si>
  <si>
    <t>IMPACT</t>
  </si>
  <si>
    <t>No</t>
  </si>
  <si>
    <t xml:space="preserve">Nama </t>
  </si>
  <si>
    <t>Jenis Kelamin
(Laki-Laki / Perempuan)</t>
  </si>
  <si>
    <t>Umur</t>
  </si>
  <si>
    <t>Alamat Tempat Tinggal</t>
  </si>
  <si>
    <t>No Telp</t>
  </si>
  <si>
    <t>Tk Pendidikan</t>
  </si>
  <si>
    <t>Pekerjaan</t>
  </si>
  <si>
    <t>Peran Didalam Keluarga
(Kepala Rumah Tangga/Anak/Ibu)</t>
  </si>
  <si>
    <t>Input</t>
  </si>
  <si>
    <t>Nilai Input
(Rp)</t>
  </si>
  <si>
    <t>Output
(Ringkasan Kuantitatif Aktivitas)</t>
  </si>
  <si>
    <t>Outcome
(Perubahan)</t>
  </si>
  <si>
    <t>Indicator Outcome (Sebelum Program: Baseline)</t>
  </si>
  <si>
    <t>Indicator Outcome (Sesudah Program)</t>
  </si>
  <si>
    <t>Duration Outcome</t>
  </si>
  <si>
    <t>Sumber Informasi Tercapainya outcome</t>
  </si>
  <si>
    <t>Pendekatan Keuangan</t>
  </si>
  <si>
    <t>Nilai Keuangan
(Rp)</t>
  </si>
  <si>
    <t>Sumber Nilai Keuangan</t>
  </si>
  <si>
    <t xml:space="preserve">Deadweight /counterfactual </t>
  </si>
  <si>
    <t>Displacement</t>
  </si>
  <si>
    <t xml:space="preserve">Atribution
(Kontribusi Perusahaan / Organisasi Lain)
</t>
  </si>
  <si>
    <t>Drop Off
(Penurunan Dampak, apabila lebih dari 1 tahun)</t>
  </si>
  <si>
    <t>Impact</t>
  </si>
  <si>
    <t>Nova Bimo Lesono</t>
  </si>
  <si>
    <t>laki-laki</t>
  </si>
  <si>
    <t>085725591955</t>
  </si>
  <si>
    <t>S1</t>
  </si>
  <si>
    <t>Karyawan Swasta/BUMN</t>
  </si>
  <si>
    <t>Kepala Rumah Tangga</t>
  </si>
  <si>
    <t xml:space="preserve">1. Tenaga
2. Waktu
</t>
  </si>
  <si>
    <t>Peningkatan citra perusahaan dari pemberitaan yang dibuat</t>
  </si>
  <si>
    <t>Belum adanya pemberitaan dari program CSR</t>
  </si>
  <si>
    <t>Terciptanya atau meningkatnya citra perusahaan atas keberhasilan pelaksanaan program</t>
  </si>
  <si>
    <t>Internal Perusahaan</t>
  </si>
  <si>
    <t>News Value</t>
  </si>
  <si>
    <t>Total Input</t>
  </si>
  <si>
    <t>Rata-Rata</t>
  </si>
  <si>
    <t>Agung Anom</t>
  </si>
  <si>
    <t>081936108942</t>
  </si>
  <si>
    <t>Karyawan BUMN</t>
  </si>
  <si>
    <t>1. Tenaga
2. Waktu
3. Biaya</t>
  </si>
  <si>
    <t>Sagung Masayu</t>
  </si>
  <si>
    <t>Perempuan</t>
  </si>
  <si>
    <t>Mataram, Lombok</t>
  </si>
  <si>
    <t>087861307544</t>
  </si>
  <si>
    <t>Ibu Rumah Tangga</t>
  </si>
  <si>
    <t>Indepth Interview</t>
  </si>
  <si>
    <t>1. Tenaga
2. Waktu</t>
  </si>
  <si>
    <t>Adanya peningkatan hubungan baik antara perusahaan dengan masyarakat</t>
  </si>
  <si>
    <t>Terbatasnya hubungan dan pelibatan masyarakat</t>
  </si>
  <si>
    <t>Penguatan hubungan positif dengan masyarakat</t>
  </si>
  <si>
    <t xml:space="preserve">Biaya penurunan konflik </t>
  </si>
  <si>
    <t xml:space="preserve">OUTCOME: </t>
  </si>
  <si>
    <t>Wahana Susi Erma Yunita</t>
  </si>
  <si>
    <t>Kuta, Mandalika</t>
  </si>
  <si>
    <t>081910843299</t>
  </si>
  <si>
    <t>D3</t>
  </si>
  <si>
    <t>Karyawan swasta</t>
  </si>
  <si>
    <t>Adanya peningkatan pendapatan koperasi melalui program IHH</t>
  </si>
  <si>
    <t>Sebelum adanya kerjasama dengan program pelatihan IHH</t>
  </si>
  <si>
    <t>Peningkatan pendapatan dari adanya program pelatihan</t>
  </si>
  <si>
    <t>Selisih pendapatan sebelum adanya program pelatihan</t>
  </si>
  <si>
    <t>Data internal koperasi</t>
  </si>
  <si>
    <t>Malik Abdul Aziz</t>
  </si>
  <si>
    <t>Desa Kuta Kecamatan Pujut Kab Lombok Tengah</t>
  </si>
  <si>
    <t>Wiraswasta / Usahawan / Pedagang</t>
  </si>
  <si>
    <t>Adanya peningkatan pendapatan</t>
  </si>
  <si>
    <t>Rendahnya pengetahuan pelaku pariwisata terkait pelayanan maksimal</t>
  </si>
  <si>
    <t>Para pelaku wisata memiliki pemahaman baru terkait memberikan pelayanan maksimal</t>
  </si>
  <si>
    <t>Biaya pelatihan sejenis</t>
  </si>
  <si>
    <t>https://www.pusatedukasi.co.id/bimtek-service-excellence-terbaru/</t>
  </si>
  <si>
    <t>Terdapat biaya transportasi dan konsumsi yang dihemat peserta selama mengikuti pelatihan</t>
  </si>
  <si>
    <t>Ada biaya konsumsi dan transportasi yang harus dikeluarkan secara mandiri untuk mengikuti kegiatan pelatihan</t>
  </si>
  <si>
    <t>Biaya konsumsi dan transportasi yang dihemat karena ditanggung oleh penyelenggara pelatuhan</t>
  </si>
  <si>
    <t>Indepth Interview
Laporan Internal Perusahaan</t>
  </si>
  <si>
    <t>Uang saku yang diterima peserta &amp; biaya konsumsi yang disediakan penyelenggara</t>
  </si>
  <si>
    <t>RAB Kegiatan dari Pemilik Program
Laporan kegiatan</t>
  </si>
  <si>
    <t>Lalu Sungkul</t>
  </si>
  <si>
    <t>S2</t>
  </si>
  <si>
    <t>Adanya penghematan biaya pelatihan serupa</t>
  </si>
  <si>
    <t>Alokasi biaya pelatihan yang bergantung pada dinas pariwisata</t>
  </si>
  <si>
    <t>Penghematan biaya pelatihan</t>
  </si>
  <si>
    <t>Biaya pelatihan serupa yang dihemat dengan adanya pelatihan program IHH</t>
  </si>
  <si>
    <t>Laporan Rencana Kerja Dinas Pariwisata Lombok Tengah</t>
  </si>
  <si>
    <t>Adanya peningkatan pengetahuan dan keterampilan dalam memberikan pelayanan maksimal kepada wisatawan</t>
  </si>
  <si>
    <t>Adanya peningkatan pengetahuan dan keterampilan dalam melakukan pemasaran melalui media digital (media sosial, whatsapp, website)</t>
  </si>
  <si>
    <t>Belum adanya pengetahuan untuk melakukan pemasaran digital bagi pengelola wisata di desa warloka</t>
  </si>
  <si>
    <t>Para pelaku wisata memiliki pengetahuan terkait digital marketing dan sudah di praktikkan</t>
  </si>
  <si>
    <t>https://syncoreconsulting.com/program-pelatihan/pelatihan-digital-marketing</t>
  </si>
  <si>
    <t>Adanya peningkatan pendapatan yang dirasakan oleh masyarakat dari kunjungan wisatawan</t>
  </si>
  <si>
    <t>Belum adanya peningkatan wisatawan secara signifikan</t>
  </si>
  <si>
    <t>Terjadi peningkatan wisatawan dalam 3 bulan teakhir</t>
  </si>
  <si>
    <t>Selsih pendapatan sebelum dan sesudah adanya program</t>
  </si>
  <si>
    <t>Internal Pokdarwis</t>
  </si>
  <si>
    <t>Terdapat peningkatan penghasilan akibat adanya program pelatihan IHH</t>
  </si>
  <si>
    <t>Kurangnya penghasilan tambahan yang dirasakan trainer sebelum program</t>
  </si>
  <si>
    <t>Adanya peningkatan pendapatan dari honor menjadi trainer program pelatihan IHH</t>
  </si>
  <si>
    <t>Honor selama menjadi trainer</t>
  </si>
  <si>
    <t>Catatan keuangan pribadi</t>
  </si>
  <si>
    <t>Burhanudin</t>
  </si>
  <si>
    <t>Terdapat peningkatan reputasi dari pekerjaan baru yang didapat setelah menjadi trainer program pelatihan IHH</t>
  </si>
  <si>
    <t>Terbatasnya akses dan peluang kerja yang dirasakan trainer sebelum program</t>
  </si>
  <si>
    <t>Adanya peningkatan reputasi dan kesejahteraan ekonomi selama menjadi dosen</t>
  </si>
  <si>
    <t>Gaji selama menjadi dosen selama 2 bulan</t>
  </si>
  <si>
    <t>Peningkatan kapasitas</t>
  </si>
  <si>
    <t>Belum memiliki akses pelatihan ToT</t>
  </si>
  <si>
    <t>Telah mengikuti pelatihan ToT dari Injourney</t>
  </si>
  <si>
    <t>Penghematan biaya ToT secara mandiri</t>
  </si>
  <si>
    <t>Laporan keuangan</t>
  </si>
  <si>
    <t>Hermawan Holidin</t>
  </si>
  <si>
    <t>Rangkap 2, Kuta</t>
  </si>
  <si>
    <t>085904301452</t>
  </si>
  <si>
    <t>Pegawai / Karyawan Swasta</t>
  </si>
  <si>
    <t>Anak</t>
  </si>
  <si>
    <t>Adanya peningkatan pengetahuan dan keterampilan dalam hospitality</t>
  </si>
  <si>
    <t>Rendahnya pengetahuan peserta terkait hospitality</t>
  </si>
  <si>
    <t>Para peserta memiliki pemahaman baru terkait hospitality</t>
  </si>
  <si>
    <t>Biaya pelatihan serupa</t>
  </si>
  <si>
    <t>Kurniadi</t>
  </si>
  <si>
    <t>Gerupuk</t>
  </si>
  <si>
    <t>085452312890</t>
  </si>
  <si>
    <t>SMA</t>
  </si>
  <si>
    <t>Pedagang jasa papan surfing dan minuman</t>
  </si>
  <si>
    <t>Diah Pidayati</t>
  </si>
  <si>
    <t>Kuta Ujung</t>
  </si>
  <si>
    <t>083110734339</t>
  </si>
  <si>
    <t>Dina</t>
  </si>
  <si>
    <t>082339277085</t>
  </si>
  <si>
    <t>pedagang jasa surfing</t>
  </si>
  <si>
    <t>Herni Mariana Puji Astuti</t>
  </si>
  <si>
    <t>081933151914</t>
  </si>
  <si>
    <t>Fitria Rahmawati</t>
  </si>
  <si>
    <t>Kemorot Lombok</t>
  </si>
  <si>
    <t>082312542109</t>
  </si>
  <si>
    <t>Pelajar / Mahasiswa</t>
  </si>
  <si>
    <t>Ruminum</t>
  </si>
  <si>
    <t>Kuta</t>
  </si>
  <si>
    <t>083183421315</t>
  </si>
  <si>
    <t>Kuswani</t>
  </si>
  <si>
    <t>083170021205</t>
  </si>
  <si>
    <t>Muhammad Kurniawan Maulana</t>
  </si>
  <si>
    <t>Prabu</t>
  </si>
  <si>
    <t>087865271408</t>
  </si>
  <si>
    <t>Diana Safitri</t>
  </si>
  <si>
    <t>Sukadana</t>
  </si>
  <si>
    <t>087830656368</t>
  </si>
  <si>
    <t>Arjuna</t>
  </si>
  <si>
    <t>Rangkep 2</t>
  </si>
  <si>
    <t>085747697009</t>
  </si>
  <si>
    <t>Doni</t>
  </si>
  <si>
    <t xml:space="preserve">Rangkap 2 </t>
  </si>
  <si>
    <t>0881037066627</t>
  </si>
  <si>
    <t xml:space="preserve">Wina </t>
  </si>
  <si>
    <t>Pogem</t>
  </si>
  <si>
    <t>087782683022</t>
  </si>
  <si>
    <t>Reza</t>
  </si>
  <si>
    <t>Dusun Rangkap 2, Kuta</t>
  </si>
  <si>
    <t>085608504259</t>
  </si>
  <si>
    <t>Nurliza</t>
  </si>
  <si>
    <t>Serenan</t>
  </si>
  <si>
    <t>087894172205</t>
  </si>
  <si>
    <t>Uut Ariska</t>
  </si>
  <si>
    <t>085646708956</t>
  </si>
  <si>
    <t>Persi Putri Naria</t>
  </si>
  <si>
    <t>Desa Kawung, Kec. Pujut</t>
  </si>
  <si>
    <t>085933530593</t>
  </si>
  <si>
    <t>Jumadi Akbar</t>
  </si>
  <si>
    <t>085154087654</t>
  </si>
  <si>
    <t>Maimunah</t>
  </si>
  <si>
    <t>Puyung</t>
  </si>
  <si>
    <t>08175771691</t>
  </si>
  <si>
    <t>Guru / Dosen</t>
  </si>
  <si>
    <t>Zunardi</t>
  </si>
  <si>
    <t>Kuta, Rangkap 2</t>
  </si>
  <si>
    <t>0881037143035</t>
  </si>
  <si>
    <t>Supriani</t>
  </si>
  <si>
    <t>Dusun Batuliti Kuta</t>
  </si>
  <si>
    <t>081907899364</t>
  </si>
  <si>
    <t xml:space="preserve">Setiani </t>
  </si>
  <si>
    <t>Jambe Desa Tanah Awu Pujut</t>
  </si>
  <si>
    <t>082340568020</t>
  </si>
  <si>
    <t>Supriyanti</t>
  </si>
  <si>
    <t>Lendang Bile, Praya</t>
  </si>
  <si>
    <t>087820124025</t>
  </si>
  <si>
    <t>Mayu Indriani</t>
  </si>
  <si>
    <t>Sengkol</t>
  </si>
  <si>
    <t>SMP</t>
  </si>
  <si>
    <t>Pedagang gelang dan kain</t>
  </si>
  <si>
    <t>Anggota Rumah Tangga</t>
  </si>
  <si>
    <t>Bu Sulaiman</t>
  </si>
  <si>
    <t>Pedagang makanan dan minuman dan sewa sunbeds</t>
  </si>
  <si>
    <t>Lawe</t>
  </si>
  <si>
    <t>082342004833</t>
  </si>
  <si>
    <t>SD</t>
  </si>
  <si>
    <t>Abimanyu Panjaitan</t>
  </si>
  <si>
    <t>081230151942</t>
  </si>
  <si>
    <t>Elsa Yulan Sundari</t>
  </si>
  <si>
    <t>08776258518</t>
  </si>
  <si>
    <t>Pedagang</t>
  </si>
  <si>
    <t>Sauni</t>
  </si>
  <si>
    <t>081353474785</t>
  </si>
  <si>
    <t>Nayip</t>
  </si>
  <si>
    <t>087814026198</t>
  </si>
  <si>
    <t>Muntis</t>
  </si>
  <si>
    <t>Inaq Kinpo</t>
  </si>
  <si>
    <t>085955222098</t>
  </si>
  <si>
    <t>Anita Suryaningsih</t>
  </si>
  <si>
    <t>085963179739</t>
  </si>
  <si>
    <t>Miati</t>
  </si>
  <si>
    <t>Jo Hariyah</t>
  </si>
  <si>
    <t>087702287617</t>
  </si>
  <si>
    <t>Najibudin</t>
  </si>
  <si>
    <t>085253316805</t>
  </si>
  <si>
    <t>Husen</t>
  </si>
  <si>
    <t>087741209156</t>
  </si>
  <si>
    <t>Selvia Melinia Saputri</t>
  </si>
  <si>
    <t>085338135894</t>
  </si>
  <si>
    <t>Susilawati</t>
  </si>
  <si>
    <t>082340841423</t>
  </si>
  <si>
    <t>Sumi</t>
  </si>
  <si>
    <t>Rina Mariyana</t>
  </si>
  <si>
    <t>085904362644</t>
  </si>
  <si>
    <t>Laras Septimendur</t>
  </si>
  <si>
    <t>085925556092</t>
  </si>
  <si>
    <t>Sapinah</t>
  </si>
  <si>
    <t>087797508618</t>
  </si>
  <si>
    <t>Adanya peningkatan pendapatan peserta dari adanya program pelatihan</t>
  </si>
  <si>
    <t>Tidak terdapat peningkatan jumlah pendapatan</t>
  </si>
  <si>
    <t>Adanya peningkatan pendapatan yang didapat peserta setelah mengikuti program pelatihan</t>
  </si>
  <si>
    <t>Selisih pendapatan bersih yang didapat sebelum dan sesudah adanya program pelatihan</t>
  </si>
  <si>
    <t>Catatan 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</si>
</sst>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"/>
    <numFmt numFmtId="165" formatCode="_-[$Rp-421]* #,##0_-;\-[$Rp-421]* #,##0_-;_-[$Rp-421]* &quot;-&quot;_-;_-@"/>
  </numFmts>
  <fonts count="29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b/>
      <sz val="12"/>
      <color theme="0"/>
      <name val="Calibri"/>
    </font>
    <font>
      <b/>
      <sz val="12"/>
      <color theme="1"/>
      <name val="Calibri"/>
    </font>
    <font>
      <b/>
      <sz val="10"/>
      <color theme="1"/>
      <name val="Calibri"/>
    </font>
    <font>
      <b/>
      <sz val="10"/>
      <color theme="1"/>
      <name val="Times New Roman"/>
    </font>
    <font>
      <sz val="12"/>
      <color theme="1"/>
      <name val="Calibri"/>
    </font>
    <font>
      <sz val="11"/>
      <color rgb="FF000000"/>
      <name val="'Pragmatica Light'"/>
    </font>
    <font>
      <sz val="10"/>
      <color rgb="FF000000"/>
      <name val="Roboto"/>
    </font>
    <font>
      <sz val="12"/>
      <color rgb="FF000000"/>
      <name val="Calibri"/>
      <scheme val="minor"/>
    </font>
    <font>
      <sz val="12"/>
      <color theme="1"/>
      <name val="Times New Roman"/>
    </font>
    <font>
      <sz val="11"/>
      <color rgb="FF000000"/>
      <name val="Arial"/>
    </font>
    <font>
      <sz val="13"/>
      <color theme="1"/>
      <name val="Times New Roman"/>
    </font>
    <font>
      <sz val="12"/>
      <color rgb="FF000000"/>
      <name val="Times New Roman"/>
    </font>
    <font>
      <sz val="11"/>
      <color theme="1"/>
      <name val="Calibri"/>
    </font>
    <font>
      <sz val="11"/>
      <color rgb="FFFFFFFF"/>
      <name val="Calibri"/>
      <scheme val="minor"/>
    </font>
    <font>
      <sz val="12"/>
      <color rgb="FFFFFFFF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sz val="11"/>
      <color rgb="FF000000"/>
      <name val="Calibri"/>
    </font>
    <font>
      <sz val="11"/>
      <color theme="1"/>
      <name val="Arial"/>
    </font>
    <font>
      <sz val="10"/>
      <color theme="1"/>
      <name val="Arial"/>
    </font>
    <font>
      <u/>
      <sz val="11"/>
      <color rgb="FF0000FF"/>
      <name val="Calibri"/>
    </font>
    <font>
      <sz val="14"/>
      <color theme="1"/>
      <name val="Times New Roman"/>
    </font>
    <font>
      <sz val="11"/>
      <color rgb="FF000000"/>
      <name val="Calibri"/>
      <scheme val="minor"/>
    </font>
    <font>
      <sz val="11"/>
      <color rgb="FF434343"/>
      <name val="Calibri"/>
      <scheme val="minor"/>
    </font>
    <font>
      <sz val="12"/>
      <color rgb="FF434343"/>
      <name val="Calibri"/>
    </font>
    <font>
      <sz val="12"/>
      <color rgb="FF434343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09FF78"/>
        <bgColor rgb="FF09FF78"/>
      </patternFill>
    </fill>
    <fill>
      <patternFill patternType="solid">
        <fgColor theme="5"/>
        <bgColor theme="5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95B3D7"/>
        <bgColor rgb="FF95B3D7"/>
      </patternFill>
    </fill>
    <fill>
      <patternFill patternType="solid">
        <fgColor rgb="FF00B050"/>
        <bgColor rgb="FF00B05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4" fillId="5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5" fillId="0" borderId="7" xfId="0" applyFont="1" applyBorder="1" applyAlignment="1">
      <alignment horizontal="center" vertical="center"/>
    </xf>
    <xf numFmtId="0" fontId="4" fillId="6" borderId="8" xfId="0" applyFont="1" applyFill="1" applyBorder="1" applyAlignment="1">
      <alignment vertical="center"/>
    </xf>
    <xf numFmtId="0" fontId="5" fillId="6" borderId="8" xfId="0" applyFont="1" applyFill="1" applyBorder="1" applyAlignment="1">
      <alignment vertical="center" wrapText="1"/>
    </xf>
    <xf numFmtId="0" fontId="5" fillId="6" borderId="8" xfId="0" applyFont="1" applyFill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7" borderId="8" xfId="0" applyFont="1" applyFill="1" applyBorder="1" applyAlignment="1">
      <alignment vertical="center" wrapText="1"/>
    </xf>
    <xf numFmtId="0" fontId="6" fillId="7" borderId="8" xfId="0" applyFont="1" applyFill="1" applyBorder="1" applyAlignment="1">
      <alignment vertical="center" wrapText="1"/>
    </xf>
    <xf numFmtId="0" fontId="6" fillId="8" borderId="8" xfId="0" applyFont="1" applyFill="1" applyBorder="1" applyAlignment="1">
      <alignment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vertical="center"/>
    </xf>
    <xf numFmtId="0" fontId="2" fillId="0" borderId="8" xfId="0" applyFont="1" applyBorder="1"/>
    <xf numFmtId="0" fontId="7" fillId="0" borderId="9" xfId="0" applyFont="1" applyBorder="1" applyAlignment="1">
      <alignment horizontal="center" vertical="center"/>
    </xf>
    <xf numFmtId="0" fontId="8" fillId="0" borderId="9" xfId="0" applyFont="1" applyBorder="1"/>
    <xf numFmtId="0" fontId="7" fillId="0" borderId="9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9" xfId="0" quotePrefix="1" applyFont="1" applyBorder="1" applyAlignment="1">
      <alignment vertical="center"/>
    </xf>
    <xf numFmtId="0" fontId="10" fillId="0" borderId="9" xfId="0" applyFont="1" applyBorder="1"/>
    <xf numFmtId="0" fontId="7" fillId="0" borderId="9" xfId="0" applyFont="1" applyBorder="1" applyAlignment="1">
      <alignment vertical="center" wrapText="1"/>
    </xf>
    <xf numFmtId="164" fontId="7" fillId="0" borderId="9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165" fontId="11" fillId="0" borderId="9" xfId="0" applyNumberFormat="1" applyFont="1" applyBorder="1" applyAlignment="1">
      <alignment vertical="center"/>
    </xf>
    <xf numFmtId="9" fontId="7" fillId="0" borderId="9" xfId="0" applyNumberFormat="1" applyFont="1" applyBorder="1" applyAlignment="1">
      <alignment vertical="center"/>
    </xf>
    <xf numFmtId="165" fontId="7" fillId="0" borderId="9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7" borderId="9" xfId="0" applyFont="1" applyFill="1" applyBorder="1" applyAlignment="1">
      <alignment vertical="center"/>
    </xf>
    <xf numFmtId="164" fontId="4" fillId="7" borderId="9" xfId="0" applyNumberFormat="1" applyFont="1" applyFill="1" applyBorder="1" applyAlignment="1">
      <alignment vertical="center"/>
    </xf>
    <xf numFmtId="165" fontId="7" fillId="0" borderId="0" xfId="0" applyNumberFormat="1" applyFont="1" applyAlignment="1">
      <alignment vertical="center"/>
    </xf>
    <xf numFmtId="9" fontId="7" fillId="0" borderId="0" xfId="0" applyNumberFormat="1" applyFont="1" applyAlignment="1">
      <alignment vertical="center"/>
    </xf>
    <xf numFmtId="0" fontId="4" fillId="0" borderId="10" xfId="0" applyFont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2" fillId="0" borderId="10" xfId="0" applyFont="1" applyBorder="1"/>
    <xf numFmtId="0" fontId="12" fillId="0" borderId="9" xfId="0" applyFont="1" applyBorder="1"/>
    <xf numFmtId="0" fontId="12" fillId="0" borderId="9" xfId="0" quotePrefix="1" applyFont="1" applyBorder="1"/>
    <xf numFmtId="0" fontId="4" fillId="7" borderId="8" xfId="0" applyFont="1" applyFill="1" applyBorder="1" applyAlignment="1">
      <alignment vertical="center"/>
    </xf>
    <xf numFmtId="164" fontId="4" fillId="7" borderId="8" xfId="0" applyNumberFormat="1" applyFont="1" applyFill="1" applyBorder="1" applyAlignment="1">
      <alignment vertical="center"/>
    </xf>
    <xf numFmtId="165" fontId="7" fillId="0" borderId="7" xfId="0" applyNumberFormat="1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13" fillId="0" borderId="9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4" fillId="5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5" fillId="0" borderId="9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6" fillId="9" borderId="8" xfId="0" applyFont="1" applyFill="1" applyBorder="1" applyAlignment="1">
      <alignment vertical="center" wrapText="1"/>
    </xf>
    <xf numFmtId="0" fontId="7" fillId="0" borderId="17" xfId="0" applyFont="1" applyBorder="1" applyAlignment="1">
      <alignment horizontal="center" vertical="center"/>
    </xf>
    <xf numFmtId="0" fontId="15" fillId="0" borderId="9" xfId="0" applyFont="1" applyBorder="1"/>
    <xf numFmtId="0" fontId="8" fillId="0" borderId="0" xfId="0" applyFont="1"/>
    <xf numFmtId="165" fontId="7" fillId="0" borderId="18" xfId="0" applyNumberFormat="1" applyFont="1" applyBorder="1" applyAlignment="1">
      <alignment vertical="center"/>
    </xf>
    <xf numFmtId="0" fontId="16" fillId="11" borderId="0" xfId="0" applyFont="1" applyFill="1"/>
    <xf numFmtId="0" fontId="17" fillId="11" borderId="0" xfId="0" applyFont="1" applyFill="1" applyAlignment="1">
      <alignment vertical="center"/>
    </xf>
    <xf numFmtId="0" fontId="17" fillId="11" borderId="0" xfId="0" applyFont="1" applyFill="1" applyAlignment="1">
      <alignment horizontal="center" vertical="center"/>
    </xf>
    <xf numFmtId="0" fontId="0" fillId="0" borderId="0" xfId="0"/>
    <xf numFmtId="0" fontId="4" fillId="6" borderId="17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 wrapText="1"/>
    </xf>
    <xf numFmtId="0" fontId="5" fillId="6" borderId="17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8" fillId="0" borderId="0" xfId="0" applyFont="1"/>
    <xf numFmtId="0" fontId="7" fillId="0" borderId="9" xfId="0" applyFont="1" applyBorder="1"/>
    <xf numFmtId="0" fontId="7" fillId="0" borderId="13" xfId="0" applyFont="1" applyBorder="1" applyAlignment="1">
      <alignment vertical="center" wrapText="1"/>
    </xf>
    <xf numFmtId="0" fontId="7" fillId="0" borderId="7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0" borderId="19" xfId="0" applyFont="1" applyBorder="1"/>
    <xf numFmtId="0" fontId="11" fillId="0" borderId="9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20" fillId="0" borderId="9" xfId="0" applyFont="1" applyBorder="1"/>
    <xf numFmtId="165" fontId="18" fillId="0" borderId="0" xfId="0" applyNumberFormat="1" applyFont="1"/>
    <xf numFmtId="0" fontId="21" fillId="0" borderId="9" xfId="0" applyFont="1" applyBorder="1"/>
    <xf numFmtId="0" fontId="7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right"/>
    </xf>
    <xf numFmtId="49" fontId="21" fillId="0" borderId="9" xfId="0" applyNumberFormat="1" applyFont="1" applyBorder="1"/>
    <xf numFmtId="0" fontId="21" fillId="0" borderId="8" xfId="0" applyFont="1" applyBorder="1"/>
    <xf numFmtId="0" fontId="21" fillId="0" borderId="8" xfId="0" applyFont="1" applyBorder="1" applyAlignment="1">
      <alignment horizontal="right"/>
    </xf>
    <xf numFmtId="49" fontId="21" fillId="0" borderId="8" xfId="0" applyNumberFormat="1" applyFont="1" applyBorder="1"/>
    <xf numFmtId="0" fontId="22" fillId="0" borderId="9" xfId="0" applyFont="1" applyBorder="1"/>
    <xf numFmtId="0" fontId="23" fillId="0" borderId="9" xfId="0" applyFont="1" applyBorder="1" applyAlignment="1">
      <alignment vertical="center"/>
    </xf>
    <xf numFmtId="0" fontId="18" fillId="0" borderId="9" xfId="0" applyFont="1" applyBorder="1"/>
    <xf numFmtId="165" fontId="13" fillId="0" borderId="9" xfId="0" applyNumberFormat="1" applyFont="1" applyBorder="1" applyAlignment="1">
      <alignment vertical="center"/>
    </xf>
    <xf numFmtId="165" fontId="24" fillId="0" borderId="9" xfId="0" applyNumberFormat="1" applyFont="1" applyBorder="1" applyAlignment="1">
      <alignment vertical="center"/>
    </xf>
    <xf numFmtId="0" fontId="7" fillId="12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165" fontId="7" fillId="12" borderId="0" xfId="0" applyNumberFormat="1" applyFont="1" applyFill="1" applyAlignment="1">
      <alignment vertical="center"/>
    </xf>
    <xf numFmtId="9" fontId="7" fillId="12" borderId="0" xfId="0" applyNumberFormat="1" applyFont="1" applyFill="1" applyAlignment="1">
      <alignment vertical="center"/>
    </xf>
    <xf numFmtId="0" fontId="25" fillId="13" borderId="9" xfId="0" applyFont="1" applyFill="1" applyBorder="1"/>
    <xf numFmtId="0" fontId="26" fillId="13" borderId="9" xfId="0" applyFont="1" applyFill="1" applyBorder="1" applyAlignment="1">
      <alignment horizontal="right"/>
    </xf>
    <xf numFmtId="0" fontId="26" fillId="13" borderId="9" xfId="0" applyFont="1" applyFill="1" applyBorder="1"/>
    <xf numFmtId="0" fontId="26" fillId="13" borderId="9" xfId="0" quotePrefix="1" applyFont="1" applyFill="1" applyBorder="1"/>
    <xf numFmtId="0" fontId="7" fillId="0" borderId="7" xfId="0" applyFont="1" applyBorder="1" applyAlignment="1">
      <alignment horizontal="center"/>
    </xf>
    <xf numFmtId="0" fontId="7" fillId="0" borderId="7" xfId="0" applyFont="1" applyBorder="1"/>
    <xf numFmtId="0" fontId="11" fillId="0" borderId="7" xfId="0" applyFont="1" applyBorder="1" applyAlignment="1">
      <alignment horizontal="center"/>
    </xf>
    <xf numFmtId="0" fontId="13" fillId="0" borderId="7" xfId="0" applyFont="1" applyBorder="1"/>
    <xf numFmtId="165" fontId="11" fillId="0" borderId="7" xfId="0" applyNumberFormat="1" applyFont="1" applyBorder="1" applyAlignment="1">
      <alignment horizontal="right"/>
    </xf>
    <xf numFmtId="0" fontId="15" fillId="0" borderId="9" xfId="0" applyFont="1" applyBorder="1" applyAlignment="1">
      <alignment vertical="center"/>
    </xf>
    <xf numFmtId="165" fontId="7" fillId="0" borderId="7" xfId="0" applyNumberFormat="1" applyFont="1" applyBorder="1" applyAlignment="1">
      <alignment horizontal="right"/>
    </xf>
    <xf numFmtId="0" fontId="25" fillId="14" borderId="9" xfId="0" applyFont="1" applyFill="1" applyBorder="1"/>
    <xf numFmtId="0" fontId="26" fillId="14" borderId="9" xfId="0" applyFont="1" applyFill="1" applyBorder="1" applyAlignment="1">
      <alignment horizontal="right"/>
    </xf>
    <xf numFmtId="0" fontId="26" fillId="14" borderId="9" xfId="0" applyFont="1" applyFill="1" applyBorder="1"/>
    <xf numFmtId="0" fontId="26" fillId="14" borderId="9" xfId="0" quotePrefix="1" applyFont="1" applyFill="1" applyBorder="1" applyAlignment="1">
      <alignment horizontal="left"/>
    </xf>
    <xf numFmtId="0" fontId="15" fillId="0" borderId="7" xfId="0" applyFont="1" applyBorder="1"/>
    <xf numFmtId="0" fontId="7" fillId="0" borderId="7" xfId="0" applyFont="1" applyBorder="1" applyAlignment="1">
      <alignment wrapText="1"/>
    </xf>
    <xf numFmtId="164" fontId="7" fillId="0" borderId="7" xfId="0" applyNumberFormat="1" applyFont="1" applyBorder="1" applyAlignment="1">
      <alignment horizontal="center" wrapText="1"/>
    </xf>
    <xf numFmtId="0" fontId="11" fillId="0" borderId="7" xfId="0" applyFont="1" applyBorder="1"/>
    <xf numFmtId="9" fontId="7" fillId="0" borderId="7" xfId="0" applyNumberFormat="1" applyFont="1" applyBorder="1" applyAlignment="1">
      <alignment horizontal="right"/>
    </xf>
    <xf numFmtId="0" fontId="26" fillId="14" borderId="9" xfId="0" quotePrefix="1" applyFont="1" applyFill="1" applyBorder="1"/>
    <xf numFmtId="164" fontId="15" fillId="0" borderId="7" xfId="0" applyNumberFormat="1" applyFont="1" applyBorder="1"/>
    <xf numFmtId="0" fontId="7" fillId="0" borderId="9" xfId="0" applyFont="1" applyBorder="1" applyAlignment="1">
      <alignment wrapText="1"/>
    </xf>
    <xf numFmtId="164" fontId="15" fillId="0" borderId="9" xfId="0" applyNumberFormat="1" applyFont="1" applyBorder="1"/>
    <xf numFmtId="0" fontId="27" fillId="13" borderId="9" xfId="0" applyFont="1" applyFill="1" applyBorder="1" applyAlignment="1">
      <alignment horizontal="right" vertical="center"/>
    </xf>
    <xf numFmtId="0" fontId="27" fillId="13" borderId="9" xfId="0" applyFont="1" applyFill="1" applyBorder="1" applyAlignment="1">
      <alignment vertical="center"/>
    </xf>
    <xf numFmtId="0" fontId="26" fillId="13" borderId="9" xfId="0" applyFont="1" applyFill="1" applyBorder="1" applyAlignment="1">
      <alignment vertical="center"/>
    </xf>
    <xf numFmtId="0" fontId="26" fillId="0" borderId="9" xfId="0" applyFont="1" applyBorder="1" applyAlignment="1">
      <alignment vertical="center"/>
    </xf>
    <xf numFmtId="0" fontId="26" fillId="0" borderId="0" xfId="0" quotePrefix="1" applyFont="1"/>
    <xf numFmtId="0" fontId="25" fillId="14" borderId="9" xfId="0" applyFont="1" applyFill="1" applyBorder="1" applyAlignment="1">
      <alignment vertical="center"/>
    </xf>
    <xf numFmtId="0" fontId="26" fillId="0" borderId="9" xfId="0" quotePrefix="1" applyFont="1" applyBorder="1" applyAlignment="1">
      <alignment vertical="center"/>
    </xf>
    <xf numFmtId="0" fontId="28" fillId="0" borderId="9" xfId="0" applyFont="1" applyBorder="1" applyAlignment="1">
      <alignment vertical="center"/>
    </xf>
  </cellXfs>
  <cellStyles count="1">
    <cellStyle name="Normal" xfId="0" builtinId="0"/>
  </cellStyles>
  <dxfs count="1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5" defaultTableStyle="TableStyleMedium2" defaultPivotStyle="PivotStyleLight16">
    <tableStyle name="2. Data 2026-style 2" pivot="0" count="2" xr9:uid="{1C7AEB64-766E-44F3-A21C-52D78ECDF62B}">
      <tableStyleElement type="firstRowStripe" dxfId="9"/>
      <tableStyleElement type="secondRowStripe" dxfId="8"/>
    </tableStyle>
    <tableStyle name="2. Data 2026-style 3" pivot="0" count="2" xr9:uid="{913BE106-DDCB-4D60-86C2-5CC3D36FF5C0}">
      <tableStyleElement type="firstRowStripe" dxfId="7"/>
      <tableStyleElement type="secondRowStripe" dxfId="6"/>
    </tableStyle>
    <tableStyle name="2. Data 2026-style 4" pivot="0" count="2" xr9:uid="{27835377-7202-405D-BAE2-FF087C83CC28}">
      <tableStyleElement type="firstRowStripe" dxfId="5"/>
      <tableStyleElement type="secondRowStripe" dxfId="4"/>
    </tableStyle>
    <tableStyle name="2. Data 2026-style 5" pivot="0" count="2" xr9:uid="{F4EA648A-AEB7-4892-AED5-45605F303DA3}">
      <tableStyleElement type="firstRowStripe" dxfId="3"/>
      <tableStyleElement type="secondRowStripe" dxfId="2"/>
    </tableStyle>
    <tableStyle name="2. Data 2026-style 6" pivot="0" count="2" xr9:uid="{91E05E3D-DE0D-4B39-A8E4-89BF4E5DF988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Kertas%20Kerja%20SROI%20IHH%20Mandalika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 Informasi Umum"/>
      <sheetName val="1. SH,Input dan Outcome"/>
      <sheetName val="2. Data 2026"/>
      <sheetName val="3. Perhitungan"/>
      <sheetName val="4. Analisa Hasil"/>
    </sheetNames>
    <sheetDataSet>
      <sheetData sheetId="0" refreshError="1"/>
      <sheetData sheetId="1">
        <row r="4">
          <cell r="C4" t="str">
            <v>PT Angkasa Pura Indonesia</v>
          </cell>
        </row>
        <row r="5">
          <cell r="C5" t="str">
            <v>InJourney Tourism Development Corporation (ITDC)</v>
          </cell>
          <cell r="I5">
            <v>47548324</v>
          </cell>
        </row>
        <row r="6">
          <cell r="C6" t="str">
            <v>Koperasi Jasa Mutiara Mandalika Madani</v>
          </cell>
        </row>
        <row r="7">
          <cell r="C7" t="str">
            <v xml:space="preserve">Dinas Pariwisata </v>
          </cell>
        </row>
        <row r="8">
          <cell r="C8" t="str">
            <v>Trainer</v>
          </cell>
        </row>
        <row r="9">
          <cell r="C9" t="str">
            <v>Peserta Pelatihan Hospitality</v>
          </cell>
        </row>
        <row r="18">
          <cell r="D18" t="str">
            <v>1.A. Peningkatan brand awareness perusahaan</v>
          </cell>
        </row>
        <row r="19">
          <cell r="D19" t="str">
            <v>2.A. Peningkatan brand awareness perusahaan</v>
          </cell>
        </row>
        <row r="20">
          <cell r="D20" t="str">
            <v>2.B. Peningkatan hubungan baik dengan masyarakat</v>
          </cell>
        </row>
        <row r="21">
          <cell r="D21" t="str">
            <v>3.A. Peningkatan pendapatan koperasi</v>
          </cell>
        </row>
        <row r="22">
          <cell r="D22" t="str">
            <v>4. A. Penghematan biaya pelatihan serupa</v>
          </cell>
        </row>
        <row r="23">
          <cell r="C23" t="str">
            <v>Trainer</v>
          </cell>
          <cell r="D23" t="str">
            <v>5.A. Peningkatan pendapatan akibat adanya pelatihan</v>
          </cell>
        </row>
        <row r="24">
          <cell r="D24" t="str">
            <v>5.B. Peningkatan reputasi (portofolio) dan kesempatan bekerja</v>
          </cell>
        </row>
        <row r="25">
          <cell r="D25" t="str">
            <v xml:space="preserve">5.C. Peningkatan kapasitas trainer dari pelatihan ToT </v>
          </cell>
        </row>
        <row r="26">
          <cell r="D26" t="str">
            <v>6.A. Peningkatan kapasitas peserta terkait hospitality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0031A-F65C-4A84-A4EE-3E454178604D}" name="Table_2" displayName="Table_2" ref="E311:E334" headerRowCount="0">
  <tableColumns count="1">
    <tableColumn id="1" xr3:uid="{E86C3AB6-D562-4213-9264-4F6FC630312A}" name="Column1"/>
  </tableColumns>
  <tableStyleInfo name="2. Data 2026-style 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8362CE-43FE-48DC-82B2-3F39EE54808A}" name="Table_3" displayName="Table_3" ref="F311:G334" headerRowCount="0">
  <tableColumns count="2">
    <tableColumn id="1" xr3:uid="{A6B85589-D860-48CC-BA2D-4D4BCD8987FA}" name="Column1"/>
    <tableColumn id="2" xr3:uid="{B19928F3-4E5B-4BC6-99D3-C3A4B396530A}" name="Column2"/>
  </tableColumns>
  <tableStyleInfo name="2. Data 2026-style 3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186398-4DD7-49DD-983E-719AE7C18E55}" name="Table_4" displayName="Table_4" ref="I311:I334" headerRowCount="0">
  <tableColumns count="1">
    <tableColumn id="1" xr3:uid="{E69458D2-BC63-49DD-B270-DBF5E275601B}" name="Column1"/>
  </tableColumns>
  <tableStyleInfo name="2. Data 2026-style 4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CF7EE4-B7F9-4816-BE0E-BD0F2B817B2C}" name="Table_5" displayName="Table_5" ref="E335:E337" headerRowCount="0">
  <tableColumns count="1">
    <tableColumn id="1" xr3:uid="{4F542F07-AD9E-468E-A52C-F9A8D49597CA}" name="Column1"/>
  </tableColumns>
  <tableStyleInfo name="2. Data 2026-style 5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393A73-6580-4531-8D77-1658AADD395B}" name="Table_6" displayName="Table_6" ref="F335:G337" headerRowCount="0">
  <tableColumns count="2">
    <tableColumn id="1" xr3:uid="{040AC648-F24A-41E4-9188-267AE302B585}" name="Column1"/>
    <tableColumn id="2" xr3:uid="{9D27CA0E-EAEB-4549-A473-08CDFA389324}" name="Column2"/>
  </tableColumns>
  <tableStyleInfo name="2. Data 2026-style 6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usatedukasi.co.id/bimtek-service-excellence-terbaru/" TargetMode="External"/><Relationship Id="rId18" Type="http://schemas.openxmlformats.org/officeDocument/2006/relationships/hyperlink" Target="https://www.pusatedukasi.co.id/bimtek-service-excellence-terbaru/" TargetMode="External"/><Relationship Id="rId26" Type="http://schemas.openxmlformats.org/officeDocument/2006/relationships/hyperlink" Target="https://www.pusatedukasi.co.id/bimtek-service-excellence-terbaru/" TargetMode="External"/><Relationship Id="rId39" Type="http://schemas.openxmlformats.org/officeDocument/2006/relationships/hyperlink" Target="https://syncoreconsulting.com/program-pelatihan/pelatihan-digital-marketing" TargetMode="External"/><Relationship Id="rId21" Type="http://schemas.openxmlformats.org/officeDocument/2006/relationships/hyperlink" Target="https://www.pusatedukasi.co.id/bimtek-service-excellence-terbaru/" TargetMode="External"/><Relationship Id="rId34" Type="http://schemas.openxmlformats.org/officeDocument/2006/relationships/hyperlink" Target="https://www.pusatedukasi.co.id/bimtek-service-excellence-terbaru/" TargetMode="External"/><Relationship Id="rId42" Type="http://schemas.openxmlformats.org/officeDocument/2006/relationships/hyperlink" Target="https://syncoreconsulting.com/program-pelatihan/pelatihan-digital-marketing" TargetMode="External"/><Relationship Id="rId47" Type="http://schemas.openxmlformats.org/officeDocument/2006/relationships/hyperlink" Target="https://syncoreconsulting.com/program-pelatihan/pelatihan-digital-marketing" TargetMode="External"/><Relationship Id="rId50" Type="http://schemas.openxmlformats.org/officeDocument/2006/relationships/hyperlink" Target="https://syncoreconsulting.com/program-pelatihan/pelatihan-digital-marketing" TargetMode="External"/><Relationship Id="rId55" Type="http://schemas.openxmlformats.org/officeDocument/2006/relationships/table" Target="../tables/table4.xml"/><Relationship Id="rId7" Type="http://schemas.openxmlformats.org/officeDocument/2006/relationships/hyperlink" Target="https://www.pusatedukasi.co.id/bimtek-service-excellence-terbaru/" TargetMode="External"/><Relationship Id="rId2" Type="http://schemas.openxmlformats.org/officeDocument/2006/relationships/hyperlink" Target="https://www.pusatedukasi.co.id/bimtek-service-excellence-terbaru/" TargetMode="External"/><Relationship Id="rId16" Type="http://schemas.openxmlformats.org/officeDocument/2006/relationships/hyperlink" Target="https://www.pusatedukasi.co.id/bimtek-service-excellence-terbaru/" TargetMode="External"/><Relationship Id="rId29" Type="http://schemas.openxmlformats.org/officeDocument/2006/relationships/hyperlink" Target="https://www.pusatedukasi.co.id/bimtek-service-excellence-terbaru/" TargetMode="External"/><Relationship Id="rId11" Type="http://schemas.openxmlformats.org/officeDocument/2006/relationships/hyperlink" Target="https://www.pusatedukasi.co.id/bimtek-service-excellence-terbaru/" TargetMode="External"/><Relationship Id="rId24" Type="http://schemas.openxmlformats.org/officeDocument/2006/relationships/hyperlink" Target="https://www.pusatedukasi.co.id/bimtek-service-excellence-terbaru/" TargetMode="External"/><Relationship Id="rId32" Type="http://schemas.openxmlformats.org/officeDocument/2006/relationships/hyperlink" Target="https://www.pusatedukasi.co.id/bimtek-service-excellence-terbaru/" TargetMode="External"/><Relationship Id="rId37" Type="http://schemas.openxmlformats.org/officeDocument/2006/relationships/hyperlink" Target="https://syncoreconsulting.com/program-pelatihan/pelatihan-digital-marketing" TargetMode="External"/><Relationship Id="rId40" Type="http://schemas.openxmlformats.org/officeDocument/2006/relationships/hyperlink" Target="https://syncoreconsulting.com/program-pelatihan/pelatihan-digital-marketing" TargetMode="External"/><Relationship Id="rId45" Type="http://schemas.openxmlformats.org/officeDocument/2006/relationships/hyperlink" Target="https://syncoreconsulting.com/program-pelatihan/pelatihan-digital-marketing" TargetMode="External"/><Relationship Id="rId53" Type="http://schemas.openxmlformats.org/officeDocument/2006/relationships/table" Target="../tables/table2.xml"/><Relationship Id="rId5" Type="http://schemas.openxmlformats.org/officeDocument/2006/relationships/hyperlink" Target="https://www.pusatedukasi.co.id/bimtek-service-excellence-terbaru/" TargetMode="External"/><Relationship Id="rId10" Type="http://schemas.openxmlformats.org/officeDocument/2006/relationships/hyperlink" Target="https://www.pusatedukasi.co.id/bimtek-service-excellence-terbaru/" TargetMode="External"/><Relationship Id="rId19" Type="http://schemas.openxmlformats.org/officeDocument/2006/relationships/hyperlink" Target="https://www.pusatedukasi.co.id/bimtek-service-excellence-terbaru/" TargetMode="External"/><Relationship Id="rId31" Type="http://schemas.openxmlformats.org/officeDocument/2006/relationships/hyperlink" Target="https://www.pusatedukasi.co.id/bimtek-service-excellence-terbaru/" TargetMode="External"/><Relationship Id="rId44" Type="http://schemas.openxmlformats.org/officeDocument/2006/relationships/hyperlink" Target="https://syncoreconsulting.com/program-pelatihan/pelatihan-digital-marketing" TargetMode="External"/><Relationship Id="rId52" Type="http://schemas.openxmlformats.org/officeDocument/2006/relationships/table" Target="../tables/table1.xml"/><Relationship Id="rId4" Type="http://schemas.openxmlformats.org/officeDocument/2006/relationships/hyperlink" Target="https://www.pusatedukasi.co.id/bimtek-service-excellence-terbaru/" TargetMode="External"/><Relationship Id="rId9" Type="http://schemas.openxmlformats.org/officeDocument/2006/relationships/hyperlink" Target="https://www.pusatedukasi.co.id/bimtek-service-excellence-terbaru/" TargetMode="External"/><Relationship Id="rId14" Type="http://schemas.openxmlformats.org/officeDocument/2006/relationships/hyperlink" Target="https://www.pusatedukasi.co.id/bimtek-service-excellence-terbaru/" TargetMode="External"/><Relationship Id="rId22" Type="http://schemas.openxmlformats.org/officeDocument/2006/relationships/hyperlink" Target="https://www.pusatedukasi.co.id/bimtek-service-excellence-terbaru/" TargetMode="External"/><Relationship Id="rId27" Type="http://schemas.openxmlformats.org/officeDocument/2006/relationships/hyperlink" Target="https://www.pusatedukasi.co.id/bimtek-service-excellence-terbaru/" TargetMode="External"/><Relationship Id="rId30" Type="http://schemas.openxmlformats.org/officeDocument/2006/relationships/hyperlink" Target="https://www.pusatedukasi.co.id/bimtek-service-excellence-terbaru/" TargetMode="External"/><Relationship Id="rId35" Type="http://schemas.openxmlformats.org/officeDocument/2006/relationships/hyperlink" Target="https://syncoreconsulting.com/program-pelatihan/pelatihan-digital-marketing" TargetMode="External"/><Relationship Id="rId43" Type="http://schemas.openxmlformats.org/officeDocument/2006/relationships/hyperlink" Target="https://syncoreconsulting.com/program-pelatihan/pelatihan-digital-marketing" TargetMode="External"/><Relationship Id="rId48" Type="http://schemas.openxmlformats.org/officeDocument/2006/relationships/hyperlink" Target="https://syncoreconsulting.com/program-pelatihan/pelatihan-digital-marketing" TargetMode="External"/><Relationship Id="rId56" Type="http://schemas.openxmlformats.org/officeDocument/2006/relationships/table" Target="../tables/table5.xml"/><Relationship Id="rId8" Type="http://schemas.openxmlformats.org/officeDocument/2006/relationships/hyperlink" Target="https://www.pusatedukasi.co.id/bimtek-service-excellence-terbaru/" TargetMode="External"/><Relationship Id="rId51" Type="http://schemas.openxmlformats.org/officeDocument/2006/relationships/hyperlink" Target="https://syncoreconsulting.com/program-pelatihan/pelatihan-digital-marketing" TargetMode="External"/><Relationship Id="rId3" Type="http://schemas.openxmlformats.org/officeDocument/2006/relationships/hyperlink" Target="https://www.pusatedukasi.co.id/bimtek-service-excellence-terbaru/" TargetMode="External"/><Relationship Id="rId12" Type="http://schemas.openxmlformats.org/officeDocument/2006/relationships/hyperlink" Target="https://www.pusatedukasi.co.id/bimtek-service-excellence-terbaru/" TargetMode="External"/><Relationship Id="rId17" Type="http://schemas.openxmlformats.org/officeDocument/2006/relationships/hyperlink" Target="https://www.pusatedukasi.co.id/bimtek-service-excellence-terbaru/" TargetMode="External"/><Relationship Id="rId25" Type="http://schemas.openxmlformats.org/officeDocument/2006/relationships/hyperlink" Target="https://www.pusatedukasi.co.id/bimtek-service-excellence-terbaru/" TargetMode="External"/><Relationship Id="rId33" Type="http://schemas.openxmlformats.org/officeDocument/2006/relationships/hyperlink" Target="https://www.pusatedukasi.co.id/bimtek-service-excellence-terbaru/" TargetMode="External"/><Relationship Id="rId38" Type="http://schemas.openxmlformats.org/officeDocument/2006/relationships/hyperlink" Target="https://syncoreconsulting.com/program-pelatihan/pelatihan-digital-marketing" TargetMode="External"/><Relationship Id="rId46" Type="http://schemas.openxmlformats.org/officeDocument/2006/relationships/hyperlink" Target="https://syncoreconsulting.com/program-pelatihan/pelatihan-digital-marketing" TargetMode="External"/><Relationship Id="rId20" Type="http://schemas.openxmlformats.org/officeDocument/2006/relationships/hyperlink" Target="https://www.pusatedukasi.co.id/bimtek-service-excellence-terbaru/" TargetMode="External"/><Relationship Id="rId41" Type="http://schemas.openxmlformats.org/officeDocument/2006/relationships/hyperlink" Target="https://syncoreconsulting.com/program-pelatihan/pelatihan-digital-marketing" TargetMode="External"/><Relationship Id="rId54" Type="http://schemas.openxmlformats.org/officeDocument/2006/relationships/table" Target="../tables/table3.xml"/><Relationship Id="rId1" Type="http://schemas.openxmlformats.org/officeDocument/2006/relationships/hyperlink" Target="https://www.pusatedukasi.co.id/bimtek-service-excellence-terbaru/" TargetMode="External"/><Relationship Id="rId6" Type="http://schemas.openxmlformats.org/officeDocument/2006/relationships/hyperlink" Target="https://www.pusatedukasi.co.id/bimtek-service-excellence-terbaru/" TargetMode="External"/><Relationship Id="rId15" Type="http://schemas.openxmlformats.org/officeDocument/2006/relationships/hyperlink" Target="https://www.pusatedukasi.co.id/bimtek-service-excellence-terbaru/" TargetMode="External"/><Relationship Id="rId23" Type="http://schemas.openxmlformats.org/officeDocument/2006/relationships/hyperlink" Target="https://www.pusatedukasi.co.id/bimtek-service-excellence-terbaru/" TargetMode="External"/><Relationship Id="rId28" Type="http://schemas.openxmlformats.org/officeDocument/2006/relationships/hyperlink" Target="https://www.pusatedukasi.co.id/bimtek-service-excellence-terbaru/" TargetMode="External"/><Relationship Id="rId36" Type="http://schemas.openxmlformats.org/officeDocument/2006/relationships/hyperlink" Target="https://syncoreconsulting.com/program-pelatihan/pelatihan-digital-marketing" TargetMode="External"/><Relationship Id="rId49" Type="http://schemas.openxmlformats.org/officeDocument/2006/relationships/hyperlink" Target="https://syncoreconsulting.com/program-pelatihan/pelatihan-digital-marke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5"/>
  <sheetViews>
    <sheetView tabSelected="1" topLeftCell="A349" workbookViewId="0">
      <selection activeCell="N351" sqref="N351"/>
    </sheetView>
  </sheetViews>
  <sheetFormatPr defaultRowHeight="14.4"/>
  <sheetData>
    <row r="1" spans="1:26" ht="15.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2" thickBot="1">
      <c r="A2" s="3" t="str">
        <f>CONCATENATE('[1]1. SH,Input dan Outcome'!C4)</f>
        <v>PT Angkasa Pura Indonesia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2" thickBot="1">
      <c r="A3" s="4" t="s">
        <v>1</v>
      </c>
      <c r="B3" s="5" t="str">
        <f>CONCATENATE('[1]1. SH,Input dan Outcome'!D18)</f>
        <v>1.A. Peningkatan brand awareness perusahaan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6.2" thickBot="1">
      <c r="A4" s="7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9" t="s">
        <v>4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</row>
    <row r="5" spans="1:26" ht="118.8">
      <c r="A5" s="12" t="s">
        <v>2</v>
      </c>
      <c r="B5" s="13" t="s">
        <v>5</v>
      </c>
      <c r="C5" s="13" t="s">
        <v>6</v>
      </c>
      <c r="D5" s="14" t="s">
        <v>7</v>
      </c>
      <c r="E5" s="15" t="s">
        <v>8</v>
      </c>
      <c r="F5" s="14" t="s">
        <v>9</v>
      </c>
      <c r="G5" s="15" t="s">
        <v>10</v>
      </c>
      <c r="H5" s="15" t="s">
        <v>11</v>
      </c>
      <c r="I5" s="15" t="s">
        <v>12</v>
      </c>
      <c r="J5" s="14" t="s">
        <v>13</v>
      </c>
      <c r="K5" s="16" t="s">
        <v>14</v>
      </c>
      <c r="L5" s="17" t="s">
        <v>15</v>
      </c>
      <c r="M5" s="17" t="s">
        <v>16</v>
      </c>
      <c r="N5" s="18" t="s">
        <v>17</v>
      </c>
      <c r="O5" s="19" t="s">
        <v>18</v>
      </c>
      <c r="P5" s="19" t="s">
        <v>19</v>
      </c>
      <c r="Q5" s="19" t="s">
        <v>20</v>
      </c>
      <c r="R5" s="19" t="s">
        <v>21</v>
      </c>
      <c r="S5" s="20" t="s">
        <v>22</v>
      </c>
      <c r="T5" s="21" t="s">
        <v>23</v>
      </c>
      <c r="U5" s="20" t="s">
        <v>24</v>
      </c>
      <c r="V5" s="22" t="s">
        <v>25</v>
      </c>
      <c r="W5" s="22" t="s">
        <v>26</v>
      </c>
      <c r="X5" s="22" t="s">
        <v>27</v>
      </c>
      <c r="Y5" s="22" t="s">
        <v>28</v>
      </c>
      <c r="Z5" s="23" t="s">
        <v>29</v>
      </c>
    </row>
    <row r="6" spans="1:26" ht="78">
      <c r="A6" s="24"/>
      <c r="B6" s="25">
        <v>1</v>
      </c>
      <c r="C6" s="26" t="s">
        <v>30</v>
      </c>
      <c r="D6" s="27" t="s">
        <v>31</v>
      </c>
      <c r="E6" s="27"/>
      <c r="F6" s="28"/>
      <c r="G6" s="29" t="s">
        <v>32</v>
      </c>
      <c r="H6" s="27" t="s">
        <v>33</v>
      </c>
      <c r="I6" s="30" t="s">
        <v>34</v>
      </c>
      <c r="J6" s="27" t="s">
        <v>35</v>
      </c>
      <c r="K6" s="31" t="s">
        <v>36</v>
      </c>
      <c r="L6" s="32"/>
      <c r="M6" s="25">
        <v>1</v>
      </c>
      <c r="N6" s="27" t="s">
        <v>37</v>
      </c>
      <c r="O6" s="27" t="s">
        <v>38</v>
      </c>
      <c r="P6" s="27" t="s">
        <v>39</v>
      </c>
      <c r="Q6" s="33">
        <v>1</v>
      </c>
      <c r="R6" s="34" t="s">
        <v>40</v>
      </c>
      <c r="S6" s="34" t="s">
        <v>41</v>
      </c>
      <c r="T6" s="35">
        <v>0</v>
      </c>
      <c r="U6" s="34" t="s">
        <v>40</v>
      </c>
      <c r="V6" s="36">
        <v>0</v>
      </c>
      <c r="W6" s="36">
        <v>0</v>
      </c>
      <c r="X6" s="36">
        <v>0</v>
      </c>
      <c r="Y6" s="36">
        <v>0</v>
      </c>
      <c r="Z6" s="37">
        <f>T6*(1-V6)*(1-W6)*(1-X6)*(1-Y6)</f>
        <v>0</v>
      </c>
    </row>
    <row r="7" spans="1:26" ht="15.6">
      <c r="A7" s="38"/>
      <c r="B7" s="38"/>
      <c r="C7" s="38"/>
      <c r="D7" s="38"/>
      <c r="E7" s="38"/>
      <c r="F7" s="38"/>
      <c r="G7" s="38"/>
      <c r="H7" s="38"/>
      <c r="I7" s="38"/>
      <c r="J7" s="38"/>
      <c r="K7" s="39" t="s">
        <v>42</v>
      </c>
      <c r="L7" s="40">
        <f>SUM(L6)</f>
        <v>0</v>
      </c>
      <c r="M7" s="38"/>
      <c r="N7" s="38"/>
      <c r="O7" s="38"/>
      <c r="P7" s="38"/>
      <c r="Q7" s="38"/>
      <c r="R7" s="38"/>
      <c r="S7" s="38" t="s">
        <v>43</v>
      </c>
      <c r="T7" s="41">
        <f>AVERAGE(T6)</f>
        <v>0</v>
      </c>
      <c r="U7" s="38"/>
      <c r="V7" s="42">
        <f t="shared" ref="V7:Z7" si="0">AVERAGEA(V6)</f>
        <v>0</v>
      </c>
      <c r="W7" s="42">
        <f t="shared" si="0"/>
        <v>0</v>
      </c>
      <c r="X7" s="42">
        <f t="shared" si="0"/>
        <v>0</v>
      </c>
      <c r="Y7" s="42">
        <f t="shared" si="0"/>
        <v>0</v>
      </c>
      <c r="Z7" s="38">
        <f t="shared" si="0"/>
        <v>0</v>
      </c>
    </row>
    <row r="8" spans="1:26" ht="16.2" thickBot="1">
      <c r="A8" s="38"/>
      <c r="B8" s="38"/>
      <c r="C8" s="38"/>
      <c r="D8" s="38"/>
      <c r="E8" s="38"/>
      <c r="F8" s="38"/>
      <c r="G8" s="38"/>
      <c r="H8" s="38"/>
      <c r="I8" s="38"/>
      <c r="J8" s="38"/>
      <c r="K8" s="43"/>
      <c r="L8" s="43"/>
      <c r="M8" s="38"/>
      <c r="N8" s="38"/>
      <c r="O8" s="38"/>
      <c r="P8" s="38"/>
      <c r="Q8" s="38"/>
      <c r="R8" s="38"/>
      <c r="S8" s="38"/>
      <c r="T8" s="38"/>
      <c r="U8" s="38"/>
      <c r="V8" s="42"/>
      <c r="W8" s="42"/>
      <c r="X8" s="42"/>
      <c r="Y8" s="42"/>
      <c r="Z8" s="38"/>
    </row>
    <row r="9" spans="1:26" ht="16.2" thickBot="1">
      <c r="A9" s="4" t="s">
        <v>1</v>
      </c>
      <c r="B9" s="5" t="e">
        <f>#REF!</f>
        <v>#REF!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2" thickBot="1">
      <c r="A10" s="7" t="s">
        <v>2</v>
      </c>
      <c r="B10" s="8" t="s">
        <v>3</v>
      </c>
      <c r="C10" s="6"/>
      <c r="D10" s="6"/>
      <c r="E10" s="6"/>
      <c r="F10" s="6"/>
      <c r="G10" s="6"/>
      <c r="H10" s="6"/>
      <c r="I10" s="6"/>
      <c r="J10" s="6"/>
      <c r="K10" s="9" t="s">
        <v>4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spans="1:26" ht="118.8">
      <c r="A11" s="12" t="s">
        <v>2</v>
      </c>
      <c r="B11" s="13" t="s">
        <v>5</v>
      </c>
      <c r="C11" s="13" t="s">
        <v>6</v>
      </c>
      <c r="D11" s="14" t="s">
        <v>7</v>
      </c>
      <c r="E11" s="15" t="s">
        <v>8</v>
      </c>
      <c r="F11" s="14" t="s">
        <v>9</v>
      </c>
      <c r="G11" s="15" t="s">
        <v>10</v>
      </c>
      <c r="H11" s="15" t="s">
        <v>11</v>
      </c>
      <c r="I11" s="15" t="s">
        <v>12</v>
      </c>
      <c r="J11" s="14" t="s">
        <v>13</v>
      </c>
      <c r="K11" s="16" t="s">
        <v>14</v>
      </c>
      <c r="L11" s="17" t="s">
        <v>15</v>
      </c>
      <c r="M11" s="17" t="s">
        <v>16</v>
      </c>
      <c r="N11" s="18" t="s">
        <v>17</v>
      </c>
      <c r="O11" s="19" t="s">
        <v>18</v>
      </c>
      <c r="P11" s="19" t="s">
        <v>19</v>
      </c>
      <c r="Q11" s="19" t="s">
        <v>20</v>
      </c>
      <c r="R11" s="19" t="s">
        <v>21</v>
      </c>
      <c r="S11" s="20" t="s">
        <v>22</v>
      </c>
      <c r="T11" s="21" t="s">
        <v>23</v>
      </c>
      <c r="U11" s="20" t="s">
        <v>24</v>
      </c>
      <c r="V11" s="22" t="s">
        <v>25</v>
      </c>
      <c r="W11" s="22" t="s">
        <v>26</v>
      </c>
      <c r="X11" s="22" t="s">
        <v>27</v>
      </c>
      <c r="Y11" s="22" t="s">
        <v>28</v>
      </c>
      <c r="Z11" s="23" t="s">
        <v>29</v>
      </c>
    </row>
    <row r="12" spans="1:26" ht="78">
      <c r="A12" s="24"/>
      <c r="B12" s="25">
        <v>1</v>
      </c>
      <c r="C12" s="27" t="s">
        <v>44</v>
      </c>
      <c r="D12" s="27" t="s">
        <v>31</v>
      </c>
      <c r="E12" s="27">
        <v>38</v>
      </c>
      <c r="F12" s="28"/>
      <c r="G12" s="29" t="s">
        <v>45</v>
      </c>
      <c r="H12" s="27" t="s">
        <v>33</v>
      </c>
      <c r="I12" s="27" t="s">
        <v>46</v>
      </c>
      <c r="J12" s="27" t="s">
        <v>35</v>
      </c>
      <c r="K12" s="31" t="s">
        <v>47</v>
      </c>
      <c r="L12" s="32"/>
      <c r="M12" s="25"/>
      <c r="N12" s="27"/>
      <c r="O12" s="27"/>
      <c r="P12" s="27"/>
      <c r="Q12" s="33"/>
      <c r="R12" s="34"/>
      <c r="S12" s="34"/>
      <c r="T12" s="35"/>
      <c r="U12" s="34"/>
      <c r="V12" s="36">
        <v>0</v>
      </c>
      <c r="W12" s="36">
        <v>0</v>
      </c>
      <c r="X12" s="36">
        <v>0</v>
      </c>
      <c r="Y12" s="36">
        <v>0</v>
      </c>
      <c r="Z12" s="37">
        <f>T12*(1-V12)*(1-W12)*(1-X12)*(1-Y12)</f>
        <v>0</v>
      </c>
    </row>
    <row r="13" spans="1:26" ht="15.6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9" t="s">
        <v>42</v>
      </c>
      <c r="L13" s="40">
        <f>SUM(L12)</f>
        <v>0</v>
      </c>
      <c r="M13" s="38"/>
      <c r="N13" s="38"/>
      <c r="O13" s="38"/>
      <c r="P13" s="38"/>
      <c r="Q13" s="38"/>
      <c r="R13" s="38"/>
      <c r="S13" s="38" t="s">
        <v>43</v>
      </c>
      <c r="T13" s="41" t="e">
        <f>AVERAGE(T12)</f>
        <v>#DIV/0!</v>
      </c>
      <c r="U13" s="38"/>
      <c r="V13" s="42">
        <f t="shared" ref="V13:Z13" si="1">AVERAGEA(V12)</f>
        <v>0</v>
      </c>
      <c r="W13" s="42">
        <f t="shared" si="1"/>
        <v>0</v>
      </c>
      <c r="X13" s="42">
        <f t="shared" si="1"/>
        <v>0</v>
      </c>
      <c r="Y13" s="42">
        <f t="shared" si="1"/>
        <v>0</v>
      </c>
      <c r="Z13" s="38">
        <f t="shared" si="1"/>
        <v>0</v>
      </c>
    </row>
    <row r="14" spans="1:26" ht="15.6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43"/>
      <c r="L14" s="43"/>
      <c r="M14" s="38"/>
      <c r="N14" s="38"/>
      <c r="O14" s="38"/>
      <c r="P14" s="38"/>
      <c r="Q14" s="38"/>
      <c r="R14" s="38"/>
      <c r="S14" s="38"/>
      <c r="T14" s="38"/>
      <c r="U14" s="38"/>
      <c r="V14" s="42"/>
      <c r="W14" s="42"/>
      <c r="X14" s="42"/>
      <c r="Y14" s="42"/>
      <c r="Z14" s="38"/>
    </row>
    <row r="15" spans="1:26" ht="15.6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43"/>
      <c r="L15" s="43"/>
      <c r="M15" s="38"/>
      <c r="N15" s="38"/>
      <c r="O15" s="38"/>
      <c r="P15" s="38"/>
      <c r="Q15" s="38"/>
      <c r="R15" s="38"/>
      <c r="S15" s="38"/>
      <c r="T15" s="38"/>
      <c r="U15" s="38"/>
      <c r="V15" s="42"/>
      <c r="W15" s="42"/>
      <c r="X15" s="42"/>
      <c r="Y15" s="42"/>
      <c r="Z15" s="38"/>
    </row>
    <row r="16" spans="1:26" ht="16.2" thickBot="1">
      <c r="A16" s="44" t="str">
        <f>CONCATENATE('[1]1. SH,Input dan Outcome'!C5)</f>
        <v>InJourney Tourism Development Corporation (ITDC)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6.2" thickBot="1">
      <c r="A17" s="4" t="s">
        <v>1</v>
      </c>
      <c r="B17" s="5" t="str">
        <f>CONCATENATE('[1]1. SH,Input dan Outcome'!D19)</f>
        <v>2.A. Peningkatan brand awareness perusahaan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6.2" thickBot="1">
      <c r="A18" s="7" t="s">
        <v>2</v>
      </c>
      <c r="B18" s="8" t="s">
        <v>3</v>
      </c>
      <c r="C18" s="6"/>
      <c r="D18" s="6"/>
      <c r="E18" s="6"/>
      <c r="F18" s="6"/>
      <c r="G18" s="6"/>
      <c r="H18" s="6"/>
      <c r="I18" s="6"/>
      <c r="J18" s="6"/>
      <c r="K18" s="9" t="s">
        <v>4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</row>
    <row r="19" spans="1:26" ht="118.8">
      <c r="A19" s="12" t="s">
        <v>2</v>
      </c>
      <c r="B19" s="13" t="s">
        <v>5</v>
      </c>
      <c r="C19" s="13" t="s">
        <v>6</v>
      </c>
      <c r="D19" s="14" t="s">
        <v>7</v>
      </c>
      <c r="E19" s="15" t="s">
        <v>8</v>
      </c>
      <c r="F19" s="14" t="s">
        <v>9</v>
      </c>
      <c r="G19" s="15" t="s">
        <v>10</v>
      </c>
      <c r="H19" s="15" t="s">
        <v>11</v>
      </c>
      <c r="I19" s="15" t="s">
        <v>12</v>
      </c>
      <c r="J19" s="14" t="s">
        <v>13</v>
      </c>
      <c r="K19" s="16" t="s">
        <v>14</v>
      </c>
      <c r="L19" s="17" t="s">
        <v>15</v>
      </c>
      <c r="M19" s="17" t="s">
        <v>16</v>
      </c>
      <c r="N19" s="18" t="s">
        <v>17</v>
      </c>
      <c r="O19" s="19" t="s">
        <v>18</v>
      </c>
      <c r="P19" s="19" t="s">
        <v>19</v>
      </c>
      <c r="Q19" s="19" t="s">
        <v>20</v>
      </c>
      <c r="R19" s="19" t="s">
        <v>21</v>
      </c>
      <c r="S19" s="20" t="s">
        <v>22</v>
      </c>
      <c r="T19" s="21" t="s">
        <v>23</v>
      </c>
      <c r="U19" s="20" t="s">
        <v>24</v>
      </c>
      <c r="V19" s="22" t="s">
        <v>25</v>
      </c>
      <c r="W19" s="22" t="s">
        <v>26</v>
      </c>
      <c r="X19" s="22" t="s">
        <v>27</v>
      </c>
      <c r="Y19" s="22" t="s">
        <v>28</v>
      </c>
      <c r="Z19" s="23" t="s">
        <v>29</v>
      </c>
    </row>
    <row r="20" spans="1:26" ht="78">
      <c r="A20" s="24"/>
      <c r="B20" s="25">
        <v>1</v>
      </c>
      <c r="C20" s="46" t="s">
        <v>48</v>
      </c>
      <c r="D20" s="27" t="s">
        <v>49</v>
      </c>
      <c r="E20" s="27"/>
      <c r="F20" s="26" t="s">
        <v>50</v>
      </c>
      <c r="G20" s="47" t="s">
        <v>51</v>
      </c>
      <c r="H20" s="27" t="s">
        <v>33</v>
      </c>
      <c r="I20" s="30" t="s">
        <v>34</v>
      </c>
      <c r="J20" s="27" t="s">
        <v>52</v>
      </c>
      <c r="K20" s="31" t="s">
        <v>47</v>
      </c>
      <c r="L20" s="32">
        <f>'[1]1. SH,Input dan Outcome'!I5</f>
        <v>47548324</v>
      </c>
      <c r="M20" s="25">
        <v>1</v>
      </c>
      <c r="N20" s="27" t="s">
        <v>37</v>
      </c>
      <c r="O20" s="27" t="s">
        <v>38</v>
      </c>
      <c r="P20" s="27" t="s">
        <v>39</v>
      </c>
      <c r="Q20" s="33">
        <v>1</v>
      </c>
      <c r="R20" s="34" t="s">
        <v>53</v>
      </c>
      <c r="S20" s="34" t="s">
        <v>41</v>
      </c>
      <c r="T20" s="35">
        <v>0</v>
      </c>
      <c r="U20" s="34" t="s">
        <v>40</v>
      </c>
      <c r="V20" s="36">
        <v>0</v>
      </c>
      <c r="W20" s="36">
        <v>0</v>
      </c>
      <c r="X20" s="36">
        <v>0</v>
      </c>
      <c r="Y20" s="36">
        <v>0</v>
      </c>
      <c r="Z20" s="37">
        <f t="shared" ref="Z20:Z21" si="2">T20*(1-V20)*(1-W20)*(1-X20)*(1-Y20)</f>
        <v>0</v>
      </c>
    </row>
    <row r="21" spans="1:26" ht="15.6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48" t="s">
        <v>42</v>
      </c>
      <c r="L21" s="49">
        <f>SUM(L20)</f>
        <v>47548324</v>
      </c>
      <c r="M21" s="38"/>
      <c r="N21" s="38"/>
      <c r="O21" s="38"/>
      <c r="P21" s="38"/>
      <c r="Q21" s="38"/>
      <c r="R21" s="38"/>
      <c r="S21" s="38" t="s">
        <v>43</v>
      </c>
      <c r="T21" s="41">
        <f>AVERAGE(T20)</f>
        <v>0</v>
      </c>
      <c r="U21" s="38"/>
      <c r="V21" s="42">
        <f t="shared" ref="V21:Y21" si="3">AVERAGEA(V20)</f>
        <v>0</v>
      </c>
      <c r="W21" s="42">
        <f t="shared" si="3"/>
        <v>0</v>
      </c>
      <c r="X21" s="42">
        <f t="shared" si="3"/>
        <v>0</v>
      </c>
      <c r="Y21" s="42">
        <f t="shared" si="3"/>
        <v>0</v>
      </c>
      <c r="Z21" s="50">
        <f t="shared" si="2"/>
        <v>0</v>
      </c>
    </row>
    <row r="22" spans="1:26" ht="16.2" thickBo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6.2" thickBot="1">
      <c r="A23" s="4" t="s">
        <v>1</v>
      </c>
      <c r="B23" s="5" t="str">
        <f>CONCATENATE('[1]1. SH,Input dan Outcome'!D20)</f>
        <v>2.B. Peningkatan hubungan baik dengan masyarakat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6.2" thickBot="1">
      <c r="A24" s="7" t="s">
        <v>2</v>
      </c>
      <c r="B24" s="8" t="s">
        <v>3</v>
      </c>
      <c r="C24" s="6"/>
      <c r="D24" s="6"/>
      <c r="E24" s="6"/>
      <c r="F24" s="6"/>
      <c r="G24" s="6"/>
      <c r="H24" s="6"/>
      <c r="I24" s="6"/>
      <c r="J24" s="6"/>
      <c r="K24" s="9" t="s">
        <v>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</row>
    <row r="25" spans="1:26" ht="118.8">
      <c r="A25" s="12" t="s">
        <v>2</v>
      </c>
      <c r="B25" s="13" t="s">
        <v>5</v>
      </c>
      <c r="C25" s="13" t="s">
        <v>6</v>
      </c>
      <c r="D25" s="14" t="s">
        <v>7</v>
      </c>
      <c r="E25" s="15" t="s">
        <v>8</v>
      </c>
      <c r="F25" s="14" t="s">
        <v>9</v>
      </c>
      <c r="G25" s="15" t="s">
        <v>10</v>
      </c>
      <c r="H25" s="15" t="s">
        <v>11</v>
      </c>
      <c r="I25" s="15" t="s">
        <v>12</v>
      </c>
      <c r="J25" s="14" t="s">
        <v>13</v>
      </c>
      <c r="K25" s="16" t="s">
        <v>14</v>
      </c>
      <c r="L25" s="17" t="s">
        <v>15</v>
      </c>
      <c r="M25" s="17" t="s">
        <v>16</v>
      </c>
      <c r="N25" s="18" t="s">
        <v>17</v>
      </c>
      <c r="O25" s="19" t="s">
        <v>18</v>
      </c>
      <c r="P25" s="19" t="s">
        <v>19</v>
      </c>
      <c r="Q25" s="19" t="s">
        <v>20</v>
      </c>
      <c r="R25" s="19" t="s">
        <v>21</v>
      </c>
      <c r="S25" s="20" t="s">
        <v>22</v>
      </c>
      <c r="T25" s="21" t="s">
        <v>23</v>
      </c>
      <c r="U25" s="20" t="s">
        <v>24</v>
      </c>
      <c r="V25" s="22" t="s">
        <v>25</v>
      </c>
      <c r="W25" s="22" t="s">
        <v>26</v>
      </c>
      <c r="X25" s="22" t="s">
        <v>27</v>
      </c>
      <c r="Y25" s="22" t="s">
        <v>28</v>
      </c>
      <c r="Z25" s="23" t="s">
        <v>29</v>
      </c>
    </row>
    <row r="26" spans="1:26" ht="62.4">
      <c r="A26" s="24"/>
      <c r="B26" s="25">
        <v>1</v>
      </c>
      <c r="C26" s="46" t="s">
        <v>48</v>
      </c>
      <c r="D26" s="27" t="s">
        <v>49</v>
      </c>
      <c r="E26" s="27"/>
      <c r="F26" s="26" t="s">
        <v>50</v>
      </c>
      <c r="G26" s="47" t="s">
        <v>51</v>
      </c>
      <c r="H26" s="27" t="s">
        <v>33</v>
      </c>
      <c r="I26" s="30" t="s">
        <v>34</v>
      </c>
      <c r="J26" s="27" t="s">
        <v>52</v>
      </c>
      <c r="K26" s="51" t="s">
        <v>54</v>
      </c>
      <c r="L26" s="32">
        <v>0</v>
      </c>
      <c r="M26" s="25">
        <v>1</v>
      </c>
      <c r="N26" s="27" t="s">
        <v>55</v>
      </c>
      <c r="O26" s="27" t="s">
        <v>56</v>
      </c>
      <c r="P26" s="27" t="s">
        <v>57</v>
      </c>
      <c r="Q26" s="33">
        <v>1</v>
      </c>
      <c r="R26" s="34" t="s">
        <v>53</v>
      </c>
      <c r="S26" s="52" t="s">
        <v>58</v>
      </c>
      <c r="T26" s="35">
        <v>0</v>
      </c>
      <c r="U26" s="53" t="s">
        <v>40</v>
      </c>
      <c r="V26" s="36">
        <v>0</v>
      </c>
      <c r="W26" s="36">
        <v>0</v>
      </c>
      <c r="X26" s="36">
        <v>0</v>
      </c>
      <c r="Y26" s="36">
        <v>0</v>
      </c>
      <c r="Z26" s="37">
        <f>T26*(1-V26)*(1-W26)*(1-X26)*(1-Y26)</f>
        <v>0</v>
      </c>
    </row>
    <row r="27" spans="1:26" ht="15.6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9" t="s">
        <v>42</v>
      </c>
      <c r="L27" s="40">
        <f>SUM(L26)</f>
        <v>0</v>
      </c>
      <c r="M27" s="38"/>
      <c r="N27" s="38"/>
      <c r="O27" s="38"/>
      <c r="P27" s="38"/>
      <c r="Q27" s="38"/>
      <c r="R27" s="38"/>
      <c r="S27" s="38" t="s">
        <v>43</v>
      </c>
      <c r="T27" s="41">
        <f>AVERAGE(T26)</f>
        <v>0</v>
      </c>
      <c r="U27" s="38"/>
      <c r="V27" s="42">
        <f t="shared" ref="V27:Z27" si="4">AVERAGEA(V26)</f>
        <v>0</v>
      </c>
      <c r="W27" s="42">
        <f t="shared" si="4"/>
        <v>0</v>
      </c>
      <c r="X27" s="42">
        <f t="shared" si="4"/>
        <v>0</v>
      </c>
      <c r="Y27" s="42">
        <f t="shared" si="4"/>
        <v>0</v>
      </c>
      <c r="Z27" s="38">
        <f t="shared" si="4"/>
        <v>0</v>
      </c>
    </row>
    <row r="28" spans="1:26" ht="15.6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5.6">
      <c r="A29" s="44" t="str">
        <f>CONCATENATE('[1]1. SH,Input dan Outcome'!C6)</f>
        <v>Koperasi Jasa Mutiara Mandalika Madani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6">
      <c r="A30" s="54" t="s">
        <v>59</v>
      </c>
      <c r="B30" s="55" t="str">
        <f>CONCATENATE('[1]1. SH,Input dan Outcome'!D21)</f>
        <v>3.A. Peningkatan pendapatan koperasi</v>
      </c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7"/>
    </row>
    <row r="31" spans="1:26" ht="16.2" thickBot="1">
      <c r="A31" s="7" t="s">
        <v>2</v>
      </c>
      <c r="B31" s="58" t="s">
        <v>3</v>
      </c>
      <c r="C31" s="59"/>
      <c r="D31" s="59"/>
      <c r="E31" s="59"/>
      <c r="F31" s="59"/>
      <c r="G31" s="59"/>
      <c r="H31" s="59"/>
      <c r="I31" s="59"/>
      <c r="J31" s="60"/>
      <c r="K31" s="58" t="s">
        <v>4</v>
      </c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60"/>
    </row>
    <row r="32" spans="1:26" ht="118.8">
      <c r="A32" s="61" t="s">
        <v>2</v>
      </c>
      <c r="B32" s="13" t="s">
        <v>5</v>
      </c>
      <c r="C32" s="13" t="s">
        <v>6</v>
      </c>
      <c r="D32" s="14" t="s">
        <v>7</v>
      </c>
      <c r="E32" s="15" t="s">
        <v>8</v>
      </c>
      <c r="F32" s="14" t="s">
        <v>9</v>
      </c>
      <c r="G32" s="15" t="s">
        <v>10</v>
      </c>
      <c r="H32" s="15" t="s">
        <v>11</v>
      </c>
      <c r="I32" s="15" t="s">
        <v>12</v>
      </c>
      <c r="J32" s="14" t="s">
        <v>13</v>
      </c>
      <c r="K32" s="62" t="s">
        <v>14</v>
      </c>
      <c r="L32" s="63" t="s">
        <v>15</v>
      </c>
      <c r="M32" s="63" t="s">
        <v>16</v>
      </c>
      <c r="N32" s="18" t="s">
        <v>17</v>
      </c>
      <c r="O32" s="19" t="s">
        <v>18</v>
      </c>
      <c r="P32" s="19" t="s">
        <v>19</v>
      </c>
      <c r="Q32" s="19" t="s">
        <v>20</v>
      </c>
      <c r="R32" s="19" t="s">
        <v>21</v>
      </c>
      <c r="S32" s="20" t="s">
        <v>22</v>
      </c>
      <c r="T32" s="21" t="s">
        <v>23</v>
      </c>
      <c r="U32" s="20" t="s">
        <v>24</v>
      </c>
      <c r="V32" s="64" t="s">
        <v>25</v>
      </c>
      <c r="W32" s="64" t="s">
        <v>26</v>
      </c>
      <c r="X32" s="64" t="s">
        <v>27</v>
      </c>
      <c r="Y32" s="64" t="s">
        <v>28</v>
      </c>
      <c r="Z32" s="23" t="s">
        <v>29</v>
      </c>
    </row>
    <row r="33" spans="1:26" ht="78">
      <c r="A33" s="65"/>
      <c r="B33" s="25">
        <v>1</v>
      </c>
      <c r="C33" s="26" t="s">
        <v>60</v>
      </c>
      <c r="D33" s="66" t="s">
        <v>49</v>
      </c>
      <c r="E33" s="66"/>
      <c r="F33" s="26" t="s">
        <v>61</v>
      </c>
      <c r="G33" s="47" t="s">
        <v>62</v>
      </c>
      <c r="H33" s="66" t="s">
        <v>63</v>
      </c>
      <c r="I33" s="66" t="s">
        <v>64</v>
      </c>
      <c r="J33" s="66" t="s">
        <v>52</v>
      </c>
      <c r="K33" s="31" t="s">
        <v>36</v>
      </c>
      <c r="L33" s="27">
        <v>0</v>
      </c>
      <c r="M33" s="25">
        <v>1</v>
      </c>
      <c r="N33" s="27" t="s">
        <v>65</v>
      </c>
      <c r="O33" s="27" t="s">
        <v>66</v>
      </c>
      <c r="P33" s="27" t="s">
        <v>67</v>
      </c>
      <c r="Q33" s="33">
        <v>1</v>
      </c>
      <c r="R33" s="34" t="s">
        <v>53</v>
      </c>
      <c r="S33" s="52" t="s">
        <v>68</v>
      </c>
      <c r="T33" s="35">
        <v>6500000</v>
      </c>
      <c r="U33" s="52" t="s">
        <v>69</v>
      </c>
      <c r="V33" s="36">
        <v>0</v>
      </c>
      <c r="W33" s="36">
        <v>0</v>
      </c>
      <c r="X33" s="36">
        <v>0</v>
      </c>
      <c r="Y33" s="36">
        <v>0</v>
      </c>
      <c r="Z33" s="37">
        <f t="shared" ref="Z33:Z34" si="5">T33*(1-V33)*(1-W33)*(1-X33)*(1-Y33)</f>
        <v>6500000</v>
      </c>
    </row>
    <row r="34" spans="1:26" ht="15.6">
      <c r="A34" s="38"/>
      <c r="B34" s="38"/>
      <c r="C34" s="38"/>
      <c r="D34" s="38"/>
      <c r="E34" s="38"/>
      <c r="F34" s="67"/>
      <c r="G34" s="38"/>
      <c r="H34" s="38"/>
      <c r="I34" s="38"/>
      <c r="J34" s="38"/>
      <c r="K34" s="39" t="s">
        <v>42</v>
      </c>
      <c r="L34" s="39">
        <f>SUM(L33)</f>
        <v>0</v>
      </c>
      <c r="M34" s="38"/>
      <c r="N34" s="38"/>
      <c r="O34" s="38"/>
      <c r="P34" s="38"/>
      <c r="Q34" s="38"/>
      <c r="R34" s="38"/>
      <c r="S34" s="38" t="s">
        <v>43</v>
      </c>
      <c r="T34" s="41">
        <f>AVERAGE(T33)</f>
        <v>6500000</v>
      </c>
      <c r="U34" s="38"/>
      <c r="V34" s="42">
        <f t="shared" ref="V34:Y34" si="6">AVERAGEA(V33)</f>
        <v>0</v>
      </c>
      <c r="W34" s="42">
        <f t="shared" si="6"/>
        <v>0</v>
      </c>
      <c r="X34" s="42">
        <f t="shared" si="6"/>
        <v>0</v>
      </c>
      <c r="Y34" s="42">
        <f t="shared" si="6"/>
        <v>0</v>
      </c>
      <c r="Z34" s="68">
        <f t="shared" si="5"/>
        <v>6500000</v>
      </c>
    </row>
    <row r="35" spans="1:26" ht="15.6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6.2" thickBot="1">
      <c r="A36" s="69"/>
      <c r="B36" s="70"/>
      <c r="C36" s="70"/>
      <c r="D36" s="71" t="str">
        <f>CONCATENATE('[1]1. SH,Input dan Outcome'!C23)</f>
        <v>Trainer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ht="16.2" thickBot="1">
      <c r="A37" s="4" t="s">
        <v>59</v>
      </c>
      <c r="B37" s="5" t="str">
        <f>CONCATENATE('[1]1. SH,Input dan Outcome'!D23)</f>
        <v>5.A. Peningkatan pendapatan akibat adanya pelatihan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6.2" thickBot="1">
      <c r="A38" s="7" t="s">
        <v>2</v>
      </c>
      <c r="B38" s="9" t="s">
        <v>3</v>
      </c>
      <c r="C38" s="10"/>
      <c r="D38" s="10"/>
      <c r="E38" s="10"/>
      <c r="F38" s="10"/>
      <c r="G38" s="10"/>
      <c r="H38" s="10"/>
      <c r="I38" s="10"/>
      <c r="J38" s="11"/>
      <c r="K38" s="9" t="s">
        <v>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</row>
    <row r="39" spans="1:26" ht="118.8">
      <c r="A39" s="61" t="s">
        <v>2</v>
      </c>
      <c r="B39" s="13" t="s">
        <v>5</v>
      </c>
      <c r="C39" s="73" t="s">
        <v>6</v>
      </c>
      <c r="D39" s="74" t="s">
        <v>7</v>
      </c>
      <c r="E39" s="75" t="s">
        <v>8</v>
      </c>
      <c r="F39" s="74" t="s">
        <v>9</v>
      </c>
      <c r="G39" s="75" t="s">
        <v>10</v>
      </c>
      <c r="H39" s="75" t="s">
        <v>11</v>
      </c>
      <c r="I39" s="75" t="s">
        <v>12</v>
      </c>
      <c r="J39" s="74" t="s">
        <v>13</v>
      </c>
      <c r="K39" s="62" t="s">
        <v>14</v>
      </c>
      <c r="L39" s="63" t="s">
        <v>15</v>
      </c>
      <c r="M39" s="63" t="s">
        <v>16</v>
      </c>
      <c r="N39" s="18" t="s">
        <v>17</v>
      </c>
      <c r="O39" s="19" t="s">
        <v>18</v>
      </c>
      <c r="P39" s="19" t="s">
        <v>19</v>
      </c>
      <c r="Q39" s="19" t="s">
        <v>20</v>
      </c>
      <c r="R39" s="19" t="s">
        <v>21</v>
      </c>
      <c r="S39" s="20" t="s">
        <v>22</v>
      </c>
      <c r="T39" s="21" t="s">
        <v>23</v>
      </c>
      <c r="U39" s="20" t="s">
        <v>24</v>
      </c>
      <c r="V39" s="64" t="s">
        <v>25</v>
      </c>
      <c r="W39" s="64" t="s">
        <v>26</v>
      </c>
      <c r="X39" s="64" t="s">
        <v>27</v>
      </c>
      <c r="Y39" s="64" t="s">
        <v>28</v>
      </c>
      <c r="Z39" s="23" t="s">
        <v>29</v>
      </c>
    </row>
    <row r="40" spans="1:26" ht="78">
      <c r="A40" s="76"/>
      <c r="B40" s="77">
        <v>1</v>
      </c>
      <c r="C40" s="78" t="s">
        <v>70</v>
      </c>
      <c r="D40" s="66" t="s">
        <v>31</v>
      </c>
      <c r="E40" s="66">
        <v>29</v>
      </c>
      <c r="F40" s="78" t="s">
        <v>71</v>
      </c>
      <c r="G40" s="79"/>
      <c r="H40" s="66" t="s">
        <v>63</v>
      </c>
      <c r="I40" s="78" t="s">
        <v>72</v>
      </c>
      <c r="J40" s="66" t="s">
        <v>35</v>
      </c>
      <c r="K40" s="80" t="s">
        <v>36</v>
      </c>
      <c r="L40" s="27">
        <v>0</v>
      </c>
      <c r="M40" s="27">
        <v>1</v>
      </c>
      <c r="N40" s="81" t="s">
        <v>73</v>
      </c>
      <c r="O40" s="81" t="s">
        <v>74</v>
      </c>
      <c r="P40" s="81" t="s">
        <v>75</v>
      </c>
      <c r="Q40" s="33">
        <v>1</v>
      </c>
      <c r="R40" s="82" t="s">
        <v>53</v>
      </c>
      <c r="S40" s="83" t="s">
        <v>76</v>
      </c>
      <c r="T40" s="35">
        <v>4000000</v>
      </c>
      <c r="U40" s="84" t="s">
        <v>77</v>
      </c>
      <c r="V40" s="36">
        <v>0</v>
      </c>
      <c r="W40" s="36">
        <v>0</v>
      </c>
      <c r="X40" s="36">
        <v>0</v>
      </c>
      <c r="Y40" s="36">
        <v>0</v>
      </c>
      <c r="Z40" s="27">
        <f t="shared" ref="Z40:Z41" si="7">T40*(1-V40)*(1-W40)*(1-X40)*(1-Y40)</f>
        <v>4000000</v>
      </c>
    </row>
    <row r="41" spans="1:26" ht="15.6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9" t="s">
        <v>42</v>
      </c>
      <c r="L41" s="39">
        <f>SUM(L40)</f>
        <v>0</v>
      </c>
      <c r="M41" s="38"/>
      <c r="N41" s="38"/>
      <c r="O41" s="38"/>
      <c r="P41" s="38"/>
      <c r="Q41" s="38"/>
      <c r="R41" s="38"/>
      <c r="S41" s="38" t="s">
        <v>43</v>
      </c>
      <c r="T41" s="41">
        <f>AVERAGE(T40)</f>
        <v>4000000</v>
      </c>
      <c r="U41" s="38"/>
      <c r="V41" s="42">
        <f t="shared" ref="V41:Y41" si="8">AVERAGEA(V40)</f>
        <v>0</v>
      </c>
      <c r="W41" s="42">
        <f t="shared" si="8"/>
        <v>0</v>
      </c>
      <c r="X41" s="42">
        <f t="shared" si="8"/>
        <v>0</v>
      </c>
      <c r="Y41" s="42">
        <f t="shared" si="8"/>
        <v>0</v>
      </c>
      <c r="Z41" s="85">
        <f t="shared" si="7"/>
        <v>4000000</v>
      </c>
    </row>
    <row r="42" spans="1:26" ht="15.6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.6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5.6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6.2" thickBot="1">
      <c r="A45" s="86" t="s">
        <v>59</v>
      </c>
      <c r="B45" s="87"/>
      <c r="C45" s="88"/>
      <c r="D45" s="89" t="e">
        <f>#REF!</f>
        <v>#REF!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6.2" thickBot="1">
      <c r="A46" s="7" t="s">
        <v>2</v>
      </c>
      <c r="B46" s="90"/>
      <c r="C46" s="91"/>
      <c r="D46" s="92" t="s">
        <v>3</v>
      </c>
      <c r="E46" s="6"/>
      <c r="F46" s="6"/>
      <c r="G46" s="6"/>
      <c r="H46" s="6"/>
      <c r="I46" s="6"/>
      <c r="J46" s="6"/>
      <c r="K46" s="6"/>
      <c r="L46" s="6"/>
      <c r="M46" s="6"/>
      <c r="N46" s="92" t="s">
        <v>4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93"/>
    </row>
    <row r="47" spans="1:26" ht="118.8">
      <c r="A47" s="61" t="s">
        <v>2</v>
      </c>
      <c r="B47" s="13" t="s">
        <v>5</v>
      </c>
      <c r="C47" s="13" t="s">
        <v>6</v>
      </c>
      <c r="D47" s="14" t="s">
        <v>7</v>
      </c>
      <c r="E47" s="15" t="s">
        <v>8</v>
      </c>
      <c r="F47" s="14" t="s">
        <v>9</v>
      </c>
      <c r="G47" s="15" t="s">
        <v>10</v>
      </c>
      <c r="H47" s="15" t="s">
        <v>11</v>
      </c>
      <c r="I47" s="15" t="s">
        <v>12</v>
      </c>
      <c r="J47" s="14" t="s">
        <v>13</v>
      </c>
      <c r="K47" s="62" t="s">
        <v>14</v>
      </c>
      <c r="L47" s="63" t="s">
        <v>15</v>
      </c>
      <c r="M47" s="63" t="s">
        <v>16</v>
      </c>
      <c r="N47" s="18" t="s">
        <v>17</v>
      </c>
      <c r="O47" s="19" t="s">
        <v>18</v>
      </c>
      <c r="P47" s="19" t="s">
        <v>19</v>
      </c>
      <c r="Q47" s="19" t="s">
        <v>20</v>
      </c>
      <c r="R47" s="19" t="s">
        <v>21</v>
      </c>
      <c r="S47" s="20" t="s">
        <v>22</v>
      </c>
      <c r="T47" s="21" t="s">
        <v>23</v>
      </c>
      <c r="U47" s="20" t="s">
        <v>24</v>
      </c>
      <c r="V47" s="64" t="s">
        <v>25</v>
      </c>
      <c r="W47" s="64" t="s">
        <v>26</v>
      </c>
      <c r="X47" s="64" t="s">
        <v>27</v>
      </c>
      <c r="Y47" s="64" t="s">
        <v>28</v>
      </c>
      <c r="Z47" s="23" t="s">
        <v>29</v>
      </c>
    </row>
    <row r="48" spans="1:26" ht="109.2">
      <c r="A48" s="76"/>
      <c r="B48" s="25">
        <v>1</v>
      </c>
      <c r="C48" s="27"/>
      <c r="D48" s="27"/>
      <c r="E48" s="27"/>
      <c r="F48" s="28"/>
      <c r="G48" s="28"/>
      <c r="H48" s="27"/>
      <c r="I48" s="27"/>
      <c r="J48" s="27"/>
      <c r="K48" s="31" t="s">
        <v>36</v>
      </c>
      <c r="L48" s="27">
        <v>0</v>
      </c>
      <c r="M48" s="27">
        <v>1</v>
      </c>
      <c r="N48" s="27" t="s">
        <v>78</v>
      </c>
      <c r="O48" s="27" t="s">
        <v>79</v>
      </c>
      <c r="P48" s="27" t="s">
        <v>80</v>
      </c>
      <c r="Q48" s="33">
        <v>1</v>
      </c>
      <c r="R48" s="94" t="s">
        <v>81</v>
      </c>
      <c r="S48" s="34" t="s">
        <v>82</v>
      </c>
      <c r="T48" s="35">
        <v>225000</v>
      </c>
      <c r="U48" s="94" t="s">
        <v>83</v>
      </c>
      <c r="V48" s="36">
        <v>0</v>
      </c>
      <c r="W48" s="36">
        <v>0</v>
      </c>
      <c r="X48" s="36">
        <v>0</v>
      </c>
      <c r="Y48" s="36">
        <v>0</v>
      </c>
      <c r="Z48" s="27">
        <f t="shared" ref="Z48:Z96" si="9">T48*(1-V48)*(1-W48)*(1-X48)*(1-Y48)</f>
        <v>225000</v>
      </c>
    </row>
    <row r="49" spans="1:26" ht="109.2">
      <c r="A49" s="95"/>
      <c r="B49" s="25">
        <v>2</v>
      </c>
      <c r="C49" s="27"/>
      <c r="D49" s="27"/>
      <c r="E49" s="27"/>
      <c r="F49" s="28"/>
      <c r="G49" s="28"/>
      <c r="H49" s="27"/>
      <c r="I49" s="27"/>
      <c r="J49" s="27"/>
      <c r="K49" s="31" t="s">
        <v>36</v>
      </c>
      <c r="L49" s="27">
        <v>0</v>
      </c>
      <c r="M49" s="27">
        <v>1</v>
      </c>
      <c r="N49" s="27" t="s">
        <v>78</v>
      </c>
      <c r="O49" s="27" t="s">
        <v>79</v>
      </c>
      <c r="P49" s="27" t="s">
        <v>80</v>
      </c>
      <c r="Q49" s="33">
        <v>1</v>
      </c>
      <c r="R49" s="94" t="s">
        <v>81</v>
      </c>
      <c r="S49" s="34" t="s">
        <v>82</v>
      </c>
      <c r="T49" s="35">
        <v>225000</v>
      </c>
      <c r="U49" s="94" t="s">
        <v>83</v>
      </c>
      <c r="V49" s="36">
        <v>0</v>
      </c>
      <c r="W49" s="36">
        <v>0</v>
      </c>
      <c r="X49" s="36">
        <v>0</v>
      </c>
      <c r="Y49" s="36">
        <v>0</v>
      </c>
      <c r="Z49" s="27">
        <f t="shared" si="9"/>
        <v>225000</v>
      </c>
    </row>
    <row r="50" spans="1:26" ht="109.2">
      <c r="A50" s="95"/>
      <c r="B50" s="25">
        <v>3</v>
      </c>
      <c r="C50" s="27"/>
      <c r="D50" s="27"/>
      <c r="E50" s="27"/>
      <c r="F50" s="28"/>
      <c r="G50" s="28"/>
      <c r="H50" s="27"/>
      <c r="I50" s="27"/>
      <c r="J50" s="27"/>
      <c r="K50" s="31" t="s">
        <v>36</v>
      </c>
      <c r="L50" s="27">
        <v>0</v>
      </c>
      <c r="M50" s="27">
        <v>1</v>
      </c>
      <c r="N50" s="27" t="s">
        <v>78</v>
      </c>
      <c r="O50" s="27" t="s">
        <v>79</v>
      </c>
      <c r="P50" s="27" t="s">
        <v>80</v>
      </c>
      <c r="Q50" s="33">
        <v>1</v>
      </c>
      <c r="R50" s="94" t="s">
        <v>81</v>
      </c>
      <c r="S50" s="34" t="s">
        <v>82</v>
      </c>
      <c r="T50" s="35">
        <v>225000</v>
      </c>
      <c r="U50" s="94" t="s">
        <v>83</v>
      </c>
      <c r="V50" s="36">
        <v>0</v>
      </c>
      <c r="W50" s="36">
        <v>0</v>
      </c>
      <c r="X50" s="36">
        <v>0</v>
      </c>
      <c r="Y50" s="36">
        <v>0</v>
      </c>
      <c r="Z50" s="27">
        <f t="shared" si="9"/>
        <v>225000</v>
      </c>
    </row>
    <row r="51" spans="1:26" ht="109.2">
      <c r="A51" s="95"/>
      <c r="B51" s="25">
        <v>4</v>
      </c>
      <c r="C51" s="27"/>
      <c r="D51" s="27"/>
      <c r="E51" s="27"/>
      <c r="F51" s="28"/>
      <c r="G51" s="28"/>
      <c r="H51" s="27"/>
      <c r="I51" s="27"/>
      <c r="J51" s="27"/>
      <c r="K51" s="31"/>
      <c r="L51" s="27"/>
      <c r="M51" s="27"/>
      <c r="N51" s="27" t="s">
        <v>78</v>
      </c>
      <c r="O51" s="27" t="s">
        <v>79</v>
      </c>
      <c r="P51" s="27" t="s">
        <v>80</v>
      </c>
      <c r="Q51" s="33">
        <v>1</v>
      </c>
      <c r="R51" s="94" t="s">
        <v>81</v>
      </c>
      <c r="S51" s="34" t="s">
        <v>82</v>
      </c>
      <c r="T51" s="35">
        <v>225000</v>
      </c>
      <c r="U51" s="94" t="s">
        <v>83</v>
      </c>
      <c r="V51" s="36">
        <v>0</v>
      </c>
      <c r="W51" s="36">
        <v>0</v>
      </c>
      <c r="X51" s="36">
        <v>0</v>
      </c>
      <c r="Y51" s="36">
        <v>0</v>
      </c>
      <c r="Z51" s="27">
        <f t="shared" si="9"/>
        <v>225000</v>
      </c>
    </row>
    <row r="52" spans="1:26" ht="109.2">
      <c r="A52" s="95"/>
      <c r="B52" s="25">
        <v>5</v>
      </c>
      <c r="C52" s="27"/>
      <c r="D52" s="27"/>
      <c r="E52" s="27"/>
      <c r="F52" s="28"/>
      <c r="G52" s="28"/>
      <c r="H52" s="27"/>
      <c r="I52" s="27"/>
      <c r="J52" s="27"/>
      <c r="K52" s="31"/>
      <c r="L52" s="27"/>
      <c r="M52" s="27"/>
      <c r="N52" s="27" t="s">
        <v>78</v>
      </c>
      <c r="O52" s="27" t="s">
        <v>79</v>
      </c>
      <c r="P52" s="27" t="s">
        <v>80</v>
      </c>
      <c r="Q52" s="33">
        <v>1</v>
      </c>
      <c r="R52" s="94" t="s">
        <v>81</v>
      </c>
      <c r="S52" s="34" t="s">
        <v>82</v>
      </c>
      <c r="T52" s="35">
        <v>225000</v>
      </c>
      <c r="U52" s="94" t="s">
        <v>83</v>
      </c>
      <c r="V52" s="36">
        <v>0</v>
      </c>
      <c r="W52" s="36">
        <v>0</v>
      </c>
      <c r="X52" s="36">
        <v>0</v>
      </c>
      <c r="Y52" s="36">
        <v>0</v>
      </c>
      <c r="Z52" s="27">
        <f t="shared" si="9"/>
        <v>225000</v>
      </c>
    </row>
    <row r="53" spans="1:26" ht="109.2">
      <c r="A53" s="95"/>
      <c r="B53" s="25">
        <v>6</v>
      </c>
      <c r="C53" s="27"/>
      <c r="D53" s="27"/>
      <c r="E53" s="27"/>
      <c r="F53" s="28"/>
      <c r="G53" s="28"/>
      <c r="H53" s="27"/>
      <c r="I53" s="27"/>
      <c r="J53" s="27"/>
      <c r="K53" s="31"/>
      <c r="L53" s="27"/>
      <c r="M53" s="27"/>
      <c r="N53" s="27" t="s">
        <v>78</v>
      </c>
      <c r="O53" s="27" t="s">
        <v>79</v>
      </c>
      <c r="P53" s="27" t="s">
        <v>80</v>
      </c>
      <c r="Q53" s="33">
        <v>1</v>
      </c>
      <c r="R53" s="94" t="s">
        <v>81</v>
      </c>
      <c r="S53" s="34" t="s">
        <v>82</v>
      </c>
      <c r="T53" s="35">
        <v>225000</v>
      </c>
      <c r="U53" s="94" t="s">
        <v>83</v>
      </c>
      <c r="V53" s="36">
        <v>0</v>
      </c>
      <c r="W53" s="36">
        <v>0</v>
      </c>
      <c r="X53" s="36">
        <v>0</v>
      </c>
      <c r="Y53" s="36">
        <v>0</v>
      </c>
      <c r="Z53" s="27">
        <f t="shared" si="9"/>
        <v>225000</v>
      </c>
    </row>
    <row r="54" spans="1:26" ht="109.2">
      <c r="A54" s="95"/>
      <c r="B54" s="25">
        <v>7</v>
      </c>
      <c r="C54" s="27"/>
      <c r="D54" s="27"/>
      <c r="E54" s="27"/>
      <c r="F54" s="28"/>
      <c r="G54" s="28"/>
      <c r="H54" s="27"/>
      <c r="I54" s="27"/>
      <c r="J54" s="27"/>
      <c r="K54" s="31"/>
      <c r="L54" s="27"/>
      <c r="M54" s="27"/>
      <c r="N54" s="27" t="s">
        <v>78</v>
      </c>
      <c r="O54" s="27" t="s">
        <v>79</v>
      </c>
      <c r="P54" s="27" t="s">
        <v>80</v>
      </c>
      <c r="Q54" s="33">
        <v>1</v>
      </c>
      <c r="R54" s="94" t="s">
        <v>81</v>
      </c>
      <c r="S54" s="34" t="s">
        <v>82</v>
      </c>
      <c r="T54" s="35">
        <v>225000</v>
      </c>
      <c r="U54" s="94" t="s">
        <v>83</v>
      </c>
      <c r="V54" s="36">
        <v>0</v>
      </c>
      <c r="W54" s="36">
        <v>0</v>
      </c>
      <c r="X54" s="36">
        <v>0</v>
      </c>
      <c r="Y54" s="36">
        <v>0</v>
      </c>
      <c r="Z54" s="27">
        <f t="shared" si="9"/>
        <v>225000</v>
      </c>
    </row>
    <row r="55" spans="1:26" ht="109.2">
      <c r="A55" s="95"/>
      <c r="B55" s="25">
        <v>8</v>
      </c>
      <c r="C55" s="27"/>
      <c r="D55" s="27"/>
      <c r="E55" s="27"/>
      <c r="F55" s="28"/>
      <c r="G55" s="28"/>
      <c r="H55" s="27"/>
      <c r="I55" s="27"/>
      <c r="J55" s="27"/>
      <c r="K55" s="31"/>
      <c r="L55" s="27"/>
      <c r="M55" s="27"/>
      <c r="N55" s="27" t="s">
        <v>78</v>
      </c>
      <c r="O55" s="27" t="s">
        <v>79</v>
      </c>
      <c r="P55" s="27" t="s">
        <v>80</v>
      </c>
      <c r="Q55" s="33">
        <v>1</v>
      </c>
      <c r="R55" s="94" t="s">
        <v>81</v>
      </c>
      <c r="S55" s="34" t="s">
        <v>82</v>
      </c>
      <c r="T55" s="35">
        <v>225000</v>
      </c>
      <c r="U55" s="94" t="s">
        <v>83</v>
      </c>
      <c r="V55" s="36">
        <v>0</v>
      </c>
      <c r="W55" s="36">
        <v>0</v>
      </c>
      <c r="X55" s="36">
        <v>0</v>
      </c>
      <c r="Y55" s="36">
        <v>0</v>
      </c>
      <c r="Z55" s="27">
        <f t="shared" si="9"/>
        <v>225000</v>
      </c>
    </row>
    <row r="56" spans="1:26" ht="109.2">
      <c r="A56" s="95"/>
      <c r="B56" s="25">
        <v>9</v>
      </c>
      <c r="C56" s="27"/>
      <c r="D56" s="27"/>
      <c r="E56" s="27"/>
      <c r="F56" s="28"/>
      <c r="G56" s="28"/>
      <c r="H56" s="27"/>
      <c r="I56" s="27"/>
      <c r="J56" s="27"/>
      <c r="K56" s="31"/>
      <c r="L56" s="27"/>
      <c r="M56" s="27"/>
      <c r="N56" s="27" t="s">
        <v>78</v>
      </c>
      <c r="O56" s="27" t="s">
        <v>79</v>
      </c>
      <c r="P56" s="27" t="s">
        <v>80</v>
      </c>
      <c r="Q56" s="33">
        <v>1</v>
      </c>
      <c r="R56" s="94" t="s">
        <v>81</v>
      </c>
      <c r="S56" s="34" t="s">
        <v>82</v>
      </c>
      <c r="T56" s="35">
        <v>225000</v>
      </c>
      <c r="U56" s="94" t="s">
        <v>83</v>
      </c>
      <c r="V56" s="36">
        <v>0</v>
      </c>
      <c r="W56" s="36">
        <v>0</v>
      </c>
      <c r="X56" s="36">
        <v>0</v>
      </c>
      <c r="Y56" s="36">
        <v>0</v>
      </c>
      <c r="Z56" s="27">
        <f t="shared" si="9"/>
        <v>225000</v>
      </c>
    </row>
    <row r="57" spans="1:26" ht="109.2">
      <c r="A57" s="95"/>
      <c r="B57" s="25">
        <v>10</v>
      </c>
      <c r="C57" s="27"/>
      <c r="D57" s="27"/>
      <c r="E57" s="27"/>
      <c r="F57" s="28"/>
      <c r="G57" s="28"/>
      <c r="H57" s="27"/>
      <c r="I57" s="27"/>
      <c r="J57" s="27"/>
      <c r="K57" s="31"/>
      <c r="L57" s="27"/>
      <c r="M57" s="27"/>
      <c r="N57" s="27" t="s">
        <v>78</v>
      </c>
      <c r="O57" s="27" t="s">
        <v>79</v>
      </c>
      <c r="P57" s="27" t="s">
        <v>80</v>
      </c>
      <c r="Q57" s="33">
        <v>1</v>
      </c>
      <c r="R57" s="94" t="s">
        <v>81</v>
      </c>
      <c r="S57" s="34" t="s">
        <v>82</v>
      </c>
      <c r="T57" s="35">
        <v>225000</v>
      </c>
      <c r="U57" s="94" t="s">
        <v>83</v>
      </c>
      <c r="V57" s="36">
        <v>0</v>
      </c>
      <c r="W57" s="36">
        <v>0</v>
      </c>
      <c r="X57" s="36">
        <v>0</v>
      </c>
      <c r="Y57" s="36">
        <v>0</v>
      </c>
      <c r="Z57" s="27">
        <f t="shared" si="9"/>
        <v>225000</v>
      </c>
    </row>
    <row r="58" spans="1:26" ht="109.2">
      <c r="A58" s="95"/>
      <c r="B58" s="25">
        <v>11</v>
      </c>
      <c r="C58" s="27"/>
      <c r="D58" s="27"/>
      <c r="E58" s="27"/>
      <c r="F58" s="28"/>
      <c r="G58" s="28"/>
      <c r="H58" s="27"/>
      <c r="I58" s="27"/>
      <c r="J58" s="27"/>
      <c r="K58" s="31"/>
      <c r="L58" s="27"/>
      <c r="M58" s="27"/>
      <c r="N58" s="27" t="s">
        <v>78</v>
      </c>
      <c r="O58" s="27" t="s">
        <v>79</v>
      </c>
      <c r="P58" s="27" t="s">
        <v>80</v>
      </c>
      <c r="Q58" s="33">
        <v>1</v>
      </c>
      <c r="R58" s="94" t="s">
        <v>81</v>
      </c>
      <c r="S58" s="34" t="s">
        <v>82</v>
      </c>
      <c r="T58" s="35">
        <v>225000</v>
      </c>
      <c r="U58" s="94" t="s">
        <v>83</v>
      </c>
      <c r="V58" s="36">
        <v>0</v>
      </c>
      <c r="W58" s="36">
        <v>0</v>
      </c>
      <c r="X58" s="36">
        <v>0</v>
      </c>
      <c r="Y58" s="36">
        <v>0</v>
      </c>
      <c r="Z58" s="27">
        <f t="shared" si="9"/>
        <v>225000</v>
      </c>
    </row>
    <row r="59" spans="1:26" ht="109.2">
      <c r="A59" s="95"/>
      <c r="B59" s="25">
        <v>12</v>
      </c>
      <c r="C59" s="27"/>
      <c r="D59" s="27"/>
      <c r="E59" s="27"/>
      <c r="F59" s="28"/>
      <c r="G59" s="28"/>
      <c r="H59" s="27"/>
      <c r="I59" s="27"/>
      <c r="J59" s="27"/>
      <c r="K59" s="31"/>
      <c r="L59" s="27"/>
      <c r="M59" s="27"/>
      <c r="N59" s="27" t="s">
        <v>78</v>
      </c>
      <c r="O59" s="27" t="s">
        <v>79</v>
      </c>
      <c r="P59" s="27" t="s">
        <v>80</v>
      </c>
      <c r="Q59" s="33">
        <v>1</v>
      </c>
      <c r="R59" s="94" t="s">
        <v>81</v>
      </c>
      <c r="S59" s="34" t="s">
        <v>82</v>
      </c>
      <c r="T59" s="35">
        <v>225000</v>
      </c>
      <c r="U59" s="94" t="s">
        <v>83</v>
      </c>
      <c r="V59" s="36">
        <v>0</v>
      </c>
      <c r="W59" s="36">
        <v>0</v>
      </c>
      <c r="X59" s="36">
        <v>0</v>
      </c>
      <c r="Y59" s="36">
        <v>0</v>
      </c>
      <c r="Z59" s="27">
        <f t="shared" si="9"/>
        <v>225000</v>
      </c>
    </row>
    <row r="60" spans="1:26" ht="109.2">
      <c r="A60" s="95"/>
      <c r="B60" s="25">
        <v>13</v>
      </c>
      <c r="C60" s="27"/>
      <c r="D60" s="27"/>
      <c r="E60" s="27"/>
      <c r="F60" s="28"/>
      <c r="G60" s="28"/>
      <c r="H60" s="27"/>
      <c r="I60" s="27"/>
      <c r="J60" s="27"/>
      <c r="K60" s="31"/>
      <c r="L60" s="27"/>
      <c r="M60" s="27"/>
      <c r="N60" s="27" t="s">
        <v>78</v>
      </c>
      <c r="O60" s="27" t="s">
        <v>79</v>
      </c>
      <c r="P60" s="27" t="s">
        <v>80</v>
      </c>
      <c r="Q60" s="33">
        <v>1</v>
      </c>
      <c r="R60" s="94" t="s">
        <v>81</v>
      </c>
      <c r="S60" s="34" t="s">
        <v>82</v>
      </c>
      <c r="T60" s="35">
        <v>225000</v>
      </c>
      <c r="U60" s="94" t="s">
        <v>83</v>
      </c>
      <c r="V60" s="36">
        <v>0</v>
      </c>
      <c r="W60" s="36">
        <v>0</v>
      </c>
      <c r="X60" s="36">
        <v>0</v>
      </c>
      <c r="Y60" s="36">
        <v>0</v>
      </c>
      <c r="Z60" s="27">
        <f t="shared" si="9"/>
        <v>225000</v>
      </c>
    </row>
    <row r="61" spans="1:26" ht="109.2">
      <c r="A61" s="95"/>
      <c r="B61" s="25">
        <v>14</v>
      </c>
      <c r="C61" s="27"/>
      <c r="D61" s="27"/>
      <c r="E61" s="27"/>
      <c r="F61" s="28"/>
      <c r="G61" s="28"/>
      <c r="H61" s="27"/>
      <c r="I61" s="27"/>
      <c r="J61" s="27"/>
      <c r="K61" s="31"/>
      <c r="L61" s="27"/>
      <c r="M61" s="27"/>
      <c r="N61" s="27" t="s">
        <v>78</v>
      </c>
      <c r="O61" s="27" t="s">
        <v>79</v>
      </c>
      <c r="P61" s="27" t="s">
        <v>80</v>
      </c>
      <c r="Q61" s="33">
        <v>1</v>
      </c>
      <c r="R61" s="94" t="s">
        <v>81</v>
      </c>
      <c r="S61" s="34" t="s">
        <v>82</v>
      </c>
      <c r="T61" s="35">
        <v>225000</v>
      </c>
      <c r="U61" s="94" t="s">
        <v>83</v>
      </c>
      <c r="V61" s="36">
        <v>0</v>
      </c>
      <c r="W61" s="36">
        <v>0</v>
      </c>
      <c r="X61" s="36">
        <v>0</v>
      </c>
      <c r="Y61" s="36">
        <v>0</v>
      </c>
      <c r="Z61" s="27">
        <f t="shared" si="9"/>
        <v>225000</v>
      </c>
    </row>
    <row r="62" spans="1:26" ht="109.2">
      <c r="A62" s="95"/>
      <c r="B62" s="25">
        <v>15</v>
      </c>
      <c r="C62" s="27"/>
      <c r="D62" s="27"/>
      <c r="E62" s="27"/>
      <c r="F62" s="28"/>
      <c r="G62" s="28"/>
      <c r="H62" s="27"/>
      <c r="I62" s="27"/>
      <c r="J62" s="27"/>
      <c r="K62" s="31"/>
      <c r="L62" s="27"/>
      <c r="M62" s="27"/>
      <c r="N62" s="27" t="s">
        <v>78</v>
      </c>
      <c r="O62" s="27" t="s">
        <v>79</v>
      </c>
      <c r="P62" s="27" t="s">
        <v>80</v>
      </c>
      <c r="Q62" s="33">
        <v>1</v>
      </c>
      <c r="R62" s="94" t="s">
        <v>81</v>
      </c>
      <c r="S62" s="34" t="s">
        <v>82</v>
      </c>
      <c r="T62" s="35">
        <v>225000</v>
      </c>
      <c r="U62" s="94" t="s">
        <v>83</v>
      </c>
      <c r="V62" s="36">
        <v>0</v>
      </c>
      <c r="W62" s="36">
        <v>0</v>
      </c>
      <c r="X62" s="36">
        <v>0</v>
      </c>
      <c r="Y62" s="36">
        <v>0</v>
      </c>
      <c r="Z62" s="27">
        <f t="shared" si="9"/>
        <v>225000</v>
      </c>
    </row>
    <row r="63" spans="1:26" ht="109.2">
      <c r="A63" s="95"/>
      <c r="B63" s="25">
        <v>16</v>
      </c>
      <c r="C63" s="27"/>
      <c r="D63" s="27"/>
      <c r="E63" s="27"/>
      <c r="F63" s="28"/>
      <c r="G63" s="28"/>
      <c r="H63" s="27"/>
      <c r="I63" s="27"/>
      <c r="J63" s="27"/>
      <c r="K63" s="31"/>
      <c r="L63" s="27"/>
      <c r="M63" s="27"/>
      <c r="N63" s="27" t="s">
        <v>78</v>
      </c>
      <c r="O63" s="27" t="s">
        <v>79</v>
      </c>
      <c r="P63" s="27" t="s">
        <v>80</v>
      </c>
      <c r="Q63" s="33">
        <v>1</v>
      </c>
      <c r="R63" s="94" t="s">
        <v>81</v>
      </c>
      <c r="S63" s="34" t="s">
        <v>82</v>
      </c>
      <c r="T63" s="35">
        <v>225000</v>
      </c>
      <c r="U63" s="94" t="s">
        <v>83</v>
      </c>
      <c r="V63" s="36">
        <v>0</v>
      </c>
      <c r="W63" s="36">
        <v>0</v>
      </c>
      <c r="X63" s="36">
        <v>0</v>
      </c>
      <c r="Y63" s="36">
        <v>0</v>
      </c>
      <c r="Z63" s="27">
        <f t="shared" si="9"/>
        <v>225000</v>
      </c>
    </row>
    <row r="64" spans="1:26" ht="109.2">
      <c r="A64" s="95"/>
      <c r="B64" s="25">
        <v>17</v>
      </c>
      <c r="C64" s="27"/>
      <c r="D64" s="27"/>
      <c r="E64" s="27"/>
      <c r="F64" s="28"/>
      <c r="G64" s="28"/>
      <c r="H64" s="27"/>
      <c r="I64" s="27"/>
      <c r="J64" s="27"/>
      <c r="K64" s="31"/>
      <c r="L64" s="27"/>
      <c r="M64" s="27"/>
      <c r="N64" s="27" t="s">
        <v>78</v>
      </c>
      <c r="O64" s="27" t="s">
        <v>79</v>
      </c>
      <c r="P64" s="27" t="s">
        <v>80</v>
      </c>
      <c r="Q64" s="33">
        <v>1</v>
      </c>
      <c r="R64" s="94" t="s">
        <v>81</v>
      </c>
      <c r="S64" s="34" t="s">
        <v>82</v>
      </c>
      <c r="T64" s="35">
        <v>225000</v>
      </c>
      <c r="U64" s="94" t="s">
        <v>83</v>
      </c>
      <c r="V64" s="36">
        <v>0</v>
      </c>
      <c r="W64" s="36">
        <v>0</v>
      </c>
      <c r="X64" s="36">
        <v>0</v>
      </c>
      <c r="Y64" s="36">
        <v>0</v>
      </c>
      <c r="Z64" s="27">
        <f t="shared" si="9"/>
        <v>225000</v>
      </c>
    </row>
    <row r="65" spans="1:26" ht="109.2">
      <c r="A65" s="95"/>
      <c r="B65" s="25">
        <v>18</v>
      </c>
      <c r="C65" s="27"/>
      <c r="D65" s="27"/>
      <c r="E65" s="27"/>
      <c r="F65" s="28"/>
      <c r="G65" s="28"/>
      <c r="H65" s="27"/>
      <c r="I65" s="27"/>
      <c r="J65" s="27"/>
      <c r="K65" s="31"/>
      <c r="L65" s="27"/>
      <c r="M65" s="27"/>
      <c r="N65" s="27" t="s">
        <v>78</v>
      </c>
      <c r="O65" s="27" t="s">
        <v>79</v>
      </c>
      <c r="P65" s="27" t="s">
        <v>80</v>
      </c>
      <c r="Q65" s="33">
        <v>1</v>
      </c>
      <c r="R65" s="94" t="s">
        <v>81</v>
      </c>
      <c r="S65" s="34" t="s">
        <v>82</v>
      </c>
      <c r="T65" s="35">
        <v>225000</v>
      </c>
      <c r="U65" s="94" t="s">
        <v>83</v>
      </c>
      <c r="V65" s="36">
        <v>0</v>
      </c>
      <c r="W65" s="36">
        <v>0</v>
      </c>
      <c r="X65" s="36">
        <v>0</v>
      </c>
      <c r="Y65" s="36">
        <v>0</v>
      </c>
      <c r="Z65" s="27">
        <f t="shared" si="9"/>
        <v>225000</v>
      </c>
    </row>
    <row r="66" spans="1:26" ht="109.2">
      <c r="A66" s="95"/>
      <c r="B66" s="25">
        <v>19</v>
      </c>
      <c r="C66" s="27"/>
      <c r="D66" s="27"/>
      <c r="E66" s="27"/>
      <c r="F66" s="28"/>
      <c r="G66" s="28"/>
      <c r="H66" s="27"/>
      <c r="I66" s="27"/>
      <c r="J66" s="27"/>
      <c r="K66" s="31"/>
      <c r="L66" s="27"/>
      <c r="M66" s="27"/>
      <c r="N66" s="27" t="s">
        <v>78</v>
      </c>
      <c r="O66" s="27" t="s">
        <v>79</v>
      </c>
      <c r="P66" s="27" t="s">
        <v>80</v>
      </c>
      <c r="Q66" s="33">
        <v>1</v>
      </c>
      <c r="R66" s="94" t="s">
        <v>81</v>
      </c>
      <c r="S66" s="34" t="s">
        <v>82</v>
      </c>
      <c r="T66" s="35">
        <v>225000</v>
      </c>
      <c r="U66" s="94" t="s">
        <v>83</v>
      </c>
      <c r="V66" s="36">
        <v>0</v>
      </c>
      <c r="W66" s="36">
        <v>0</v>
      </c>
      <c r="X66" s="36">
        <v>0</v>
      </c>
      <c r="Y66" s="36">
        <v>0</v>
      </c>
      <c r="Z66" s="27">
        <f t="shared" si="9"/>
        <v>225000</v>
      </c>
    </row>
    <row r="67" spans="1:26" ht="109.2">
      <c r="A67" s="95"/>
      <c r="B67" s="25">
        <v>20</v>
      </c>
      <c r="C67" s="27"/>
      <c r="D67" s="27"/>
      <c r="E67" s="27"/>
      <c r="F67" s="28"/>
      <c r="G67" s="28"/>
      <c r="H67" s="27"/>
      <c r="I67" s="27"/>
      <c r="J67" s="27"/>
      <c r="K67" s="31"/>
      <c r="L67" s="27"/>
      <c r="M67" s="27"/>
      <c r="N67" s="27" t="s">
        <v>78</v>
      </c>
      <c r="O67" s="27" t="s">
        <v>79</v>
      </c>
      <c r="P67" s="27" t="s">
        <v>80</v>
      </c>
      <c r="Q67" s="33">
        <v>1</v>
      </c>
      <c r="R67" s="94" t="s">
        <v>81</v>
      </c>
      <c r="S67" s="34" t="s">
        <v>82</v>
      </c>
      <c r="T67" s="35">
        <v>225000</v>
      </c>
      <c r="U67" s="94" t="s">
        <v>83</v>
      </c>
      <c r="V67" s="36">
        <v>0</v>
      </c>
      <c r="W67" s="36">
        <v>0</v>
      </c>
      <c r="X67" s="36">
        <v>0</v>
      </c>
      <c r="Y67" s="36">
        <v>0</v>
      </c>
      <c r="Z67" s="27">
        <f t="shared" si="9"/>
        <v>225000</v>
      </c>
    </row>
    <row r="68" spans="1:26" ht="109.2">
      <c r="A68" s="95"/>
      <c r="B68" s="25">
        <v>21</v>
      </c>
      <c r="C68" s="27"/>
      <c r="D68" s="27"/>
      <c r="E68" s="27"/>
      <c r="F68" s="28"/>
      <c r="G68" s="28"/>
      <c r="H68" s="27"/>
      <c r="I68" s="27"/>
      <c r="J68" s="27"/>
      <c r="K68" s="31"/>
      <c r="L68" s="27"/>
      <c r="M68" s="27"/>
      <c r="N68" s="27" t="s">
        <v>78</v>
      </c>
      <c r="O68" s="27" t="s">
        <v>79</v>
      </c>
      <c r="P68" s="27" t="s">
        <v>80</v>
      </c>
      <c r="Q68" s="33">
        <v>1</v>
      </c>
      <c r="R68" s="94" t="s">
        <v>81</v>
      </c>
      <c r="S68" s="34" t="s">
        <v>82</v>
      </c>
      <c r="T68" s="35">
        <v>225000</v>
      </c>
      <c r="U68" s="94" t="s">
        <v>83</v>
      </c>
      <c r="V68" s="36">
        <v>0</v>
      </c>
      <c r="W68" s="36">
        <v>0</v>
      </c>
      <c r="X68" s="36">
        <v>0</v>
      </c>
      <c r="Y68" s="36">
        <v>0</v>
      </c>
      <c r="Z68" s="27">
        <f t="shared" si="9"/>
        <v>225000</v>
      </c>
    </row>
    <row r="69" spans="1:26" ht="109.2">
      <c r="A69" s="95"/>
      <c r="B69" s="25">
        <v>22</v>
      </c>
      <c r="C69" s="27"/>
      <c r="D69" s="27"/>
      <c r="E69" s="27"/>
      <c r="F69" s="28"/>
      <c r="G69" s="28"/>
      <c r="H69" s="27"/>
      <c r="I69" s="27"/>
      <c r="J69" s="27"/>
      <c r="K69" s="31"/>
      <c r="L69" s="27"/>
      <c r="M69" s="27"/>
      <c r="N69" s="27" t="s">
        <v>78</v>
      </c>
      <c r="O69" s="27" t="s">
        <v>79</v>
      </c>
      <c r="P69" s="27" t="s">
        <v>80</v>
      </c>
      <c r="Q69" s="33">
        <v>1</v>
      </c>
      <c r="R69" s="94" t="s">
        <v>81</v>
      </c>
      <c r="S69" s="34" t="s">
        <v>82</v>
      </c>
      <c r="T69" s="35">
        <v>225000</v>
      </c>
      <c r="U69" s="94" t="s">
        <v>83</v>
      </c>
      <c r="V69" s="36">
        <v>0</v>
      </c>
      <c r="W69" s="36">
        <v>0</v>
      </c>
      <c r="X69" s="36">
        <v>0</v>
      </c>
      <c r="Y69" s="36">
        <v>0</v>
      </c>
      <c r="Z69" s="27">
        <f t="shared" si="9"/>
        <v>225000</v>
      </c>
    </row>
    <row r="70" spans="1:26" ht="109.2">
      <c r="A70" s="95"/>
      <c r="B70" s="25">
        <v>23</v>
      </c>
      <c r="C70" s="27"/>
      <c r="D70" s="27"/>
      <c r="E70" s="27"/>
      <c r="F70" s="28"/>
      <c r="G70" s="28"/>
      <c r="H70" s="27"/>
      <c r="I70" s="27"/>
      <c r="J70" s="27"/>
      <c r="K70" s="31"/>
      <c r="L70" s="27"/>
      <c r="M70" s="27"/>
      <c r="N70" s="27" t="s">
        <v>78</v>
      </c>
      <c r="O70" s="27" t="s">
        <v>79</v>
      </c>
      <c r="P70" s="27" t="s">
        <v>80</v>
      </c>
      <c r="Q70" s="33">
        <v>1</v>
      </c>
      <c r="R70" s="94" t="s">
        <v>81</v>
      </c>
      <c r="S70" s="34" t="s">
        <v>82</v>
      </c>
      <c r="T70" s="35">
        <v>225000</v>
      </c>
      <c r="U70" s="94" t="s">
        <v>83</v>
      </c>
      <c r="V70" s="36">
        <v>0</v>
      </c>
      <c r="W70" s="36">
        <v>0</v>
      </c>
      <c r="X70" s="36">
        <v>0</v>
      </c>
      <c r="Y70" s="36">
        <v>0</v>
      </c>
      <c r="Z70" s="27">
        <f t="shared" si="9"/>
        <v>225000</v>
      </c>
    </row>
    <row r="71" spans="1:26" ht="109.2">
      <c r="A71" s="95"/>
      <c r="B71" s="25">
        <v>24</v>
      </c>
      <c r="C71" s="27"/>
      <c r="D71" s="27"/>
      <c r="E71" s="27"/>
      <c r="F71" s="28"/>
      <c r="G71" s="28"/>
      <c r="H71" s="27"/>
      <c r="I71" s="27"/>
      <c r="J71" s="27"/>
      <c r="K71" s="31"/>
      <c r="L71" s="27"/>
      <c r="M71" s="27"/>
      <c r="N71" s="27" t="s">
        <v>78</v>
      </c>
      <c r="O71" s="27" t="s">
        <v>79</v>
      </c>
      <c r="P71" s="27" t="s">
        <v>80</v>
      </c>
      <c r="Q71" s="33">
        <v>1</v>
      </c>
      <c r="R71" s="94" t="s">
        <v>81</v>
      </c>
      <c r="S71" s="34" t="s">
        <v>82</v>
      </c>
      <c r="T71" s="35">
        <v>225000</v>
      </c>
      <c r="U71" s="94" t="s">
        <v>83</v>
      </c>
      <c r="V71" s="36">
        <v>0</v>
      </c>
      <c r="W71" s="36">
        <v>0</v>
      </c>
      <c r="X71" s="36">
        <v>0</v>
      </c>
      <c r="Y71" s="36">
        <v>0</v>
      </c>
      <c r="Z71" s="27">
        <f t="shared" si="9"/>
        <v>225000</v>
      </c>
    </row>
    <row r="72" spans="1:26" ht="109.2">
      <c r="A72" s="95"/>
      <c r="B72" s="25">
        <v>25</v>
      </c>
      <c r="C72" s="27"/>
      <c r="D72" s="27"/>
      <c r="E72" s="27"/>
      <c r="F72" s="28"/>
      <c r="G72" s="28"/>
      <c r="H72" s="27"/>
      <c r="I72" s="27"/>
      <c r="J72" s="27"/>
      <c r="K72" s="31"/>
      <c r="L72" s="27"/>
      <c r="M72" s="27"/>
      <c r="N72" s="27" t="s">
        <v>78</v>
      </c>
      <c r="O72" s="27" t="s">
        <v>79</v>
      </c>
      <c r="P72" s="27" t="s">
        <v>80</v>
      </c>
      <c r="Q72" s="33">
        <v>1</v>
      </c>
      <c r="R72" s="94" t="s">
        <v>81</v>
      </c>
      <c r="S72" s="34" t="s">
        <v>82</v>
      </c>
      <c r="T72" s="35">
        <v>225000</v>
      </c>
      <c r="U72" s="94" t="s">
        <v>83</v>
      </c>
      <c r="V72" s="36">
        <v>0</v>
      </c>
      <c r="W72" s="36">
        <v>0</v>
      </c>
      <c r="X72" s="36">
        <v>0</v>
      </c>
      <c r="Y72" s="36">
        <v>0</v>
      </c>
      <c r="Z72" s="27">
        <f t="shared" si="9"/>
        <v>225000</v>
      </c>
    </row>
    <row r="73" spans="1:26" ht="109.2">
      <c r="A73" s="95"/>
      <c r="B73" s="25">
        <v>26</v>
      </c>
      <c r="C73" s="27"/>
      <c r="D73" s="27"/>
      <c r="E73" s="27"/>
      <c r="F73" s="28"/>
      <c r="G73" s="28"/>
      <c r="H73" s="27"/>
      <c r="I73" s="27"/>
      <c r="J73" s="27"/>
      <c r="K73" s="31"/>
      <c r="L73" s="27"/>
      <c r="M73" s="27"/>
      <c r="N73" s="27" t="s">
        <v>78</v>
      </c>
      <c r="O73" s="27" t="s">
        <v>79</v>
      </c>
      <c r="P73" s="27" t="s">
        <v>80</v>
      </c>
      <c r="Q73" s="33">
        <v>1</v>
      </c>
      <c r="R73" s="94" t="s">
        <v>81</v>
      </c>
      <c r="S73" s="34" t="s">
        <v>82</v>
      </c>
      <c r="T73" s="35">
        <v>225000</v>
      </c>
      <c r="U73" s="94" t="s">
        <v>83</v>
      </c>
      <c r="V73" s="36">
        <v>0</v>
      </c>
      <c r="W73" s="36">
        <v>0</v>
      </c>
      <c r="X73" s="36">
        <v>0</v>
      </c>
      <c r="Y73" s="36">
        <v>0</v>
      </c>
      <c r="Z73" s="27">
        <f t="shared" si="9"/>
        <v>225000</v>
      </c>
    </row>
    <row r="74" spans="1:26" ht="109.2">
      <c r="A74" s="95"/>
      <c r="B74" s="25">
        <v>27</v>
      </c>
      <c r="C74" s="27"/>
      <c r="D74" s="27"/>
      <c r="E74" s="27"/>
      <c r="F74" s="28"/>
      <c r="G74" s="28"/>
      <c r="H74" s="27"/>
      <c r="I74" s="27"/>
      <c r="J74" s="27"/>
      <c r="K74" s="31"/>
      <c r="L74" s="27"/>
      <c r="M74" s="27"/>
      <c r="N74" s="27" t="s">
        <v>78</v>
      </c>
      <c r="O74" s="27" t="s">
        <v>79</v>
      </c>
      <c r="P74" s="27" t="s">
        <v>80</v>
      </c>
      <c r="Q74" s="33">
        <v>1</v>
      </c>
      <c r="R74" s="94" t="s">
        <v>81</v>
      </c>
      <c r="S74" s="34" t="s">
        <v>82</v>
      </c>
      <c r="T74" s="35">
        <v>225000</v>
      </c>
      <c r="U74" s="94" t="s">
        <v>83</v>
      </c>
      <c r="V74" s="36">
        <v>0</v>
      </c>
      <c r="W74" s="36">
        <v>0</v>
      </c>
      <c r="X74" s="36">
        <v>0</v>
      </c>
      <c r="Y74" s="36">
        <v>0</v>
      </c>
      <c r="Z74" s="27">
        <f t="shared" si="9"/>
        <v>225000</v>
      </c>
    </row>
    <row r="75" spans="1:26" ht="109.2">
      <c r="A75" s="95"/>
      <c r="B75" s="25">
        <v>28</v>
      </c>
      <c r="C75" s="27"/>
      <c r="D75" s="27"/>
      <c r="E75" s="27"/>
      <c r="F75" s="28"/>
      <c r="G75" s="28"/>
      <c r="H75" s="27"/>
      <c r="I75" s="27"/>
      <c r="J75" s="27"/>
      <c r="K75" s="31"/>
      <c r="L75" s="27"/>
      <c r="M75" s="27"/>
      <c r="N75" s="27" t="s">
        <v>78</v>
      </c>
      <c r="O75" s="27" t="s">
        <v>79</v>
      </c>
      <c r="P75" s="27" t="s">
        <v>80</v>
      </c>
      <c r="Q75" s="33">
        <v>1</v>
      </c>
      <c r="R75" s="94" t="s">
        <v>81</v>
      </c>
      <c r="S75" s="34" t="s">
        <v>82</v>
      </c>
      <c r="T75" s="35">
        <v>225000</v>
      </c>
      <c r="U75" s="94" t="s">
        <v>83</v>
      </c>
      <c r="V75" s="36">
        <v>0</v>
      </c>
      <c r="W75" s="36">
        <v>0</v>
      </c>
      <c r="X75" s="36">
        <v>0</v>
      </c>
      <c r="Y75" s="36">
        <v>0</v>
      </c>
      <c r="Z75" s="27">
        <f t="shared" si="9"/>
        <v>225000</v>
      </c>
    </row>
    <row r="76" spans="1:26" ht="109.2">
      <c r="A76" s="95"/>
      <c r="B76" s="25">
        <v>29</v>
      </c>
      <c r="C76" s="27"/>
      <c r="D76" s="27"/>
      <c r="E76" s="27"/>
      <c r="F76" s="28"/>
      <c r="G76" s="28"/>
      <c r="H76" s="27"/>
      <c r="I76" s="27"/>
      <c r="J76" s="27"/>
      <c r="K76" s="31"/>
      <c r="L76" s="27"/>
      <c r="M76" s="27"/>
      <c r="N76" s="27" t="s">
        <v>78</v>
      </c>
      <c r="O76" s="27" t="s">
        <v>79</v>
      </c>
      <c r="P76" s="27" t="s">
        <v>80</v>
      </c>
      <c r="Q76" s="33">
        <v>1</v>
      </c>
      <c r="R76" s="94" t="s">
        <v>81</v>
      </c>
      <c r="S76" s="34" t="s">
        <v>82</v>
      </c>
      <c r="T76" s="35">
        <v>225000</v>
      </c>
      <c r="U76" s="94" t="s">
        <v>83</v>
      </c>
      <c r="V76" s="36">
        <v>0</v>
      </c>
      <c r="W76" s="36">
        <v>0</v>
      </c>
      <c r="X76" s="36">
        <v>0</v>
      </c>
      <c r="Y76" s="36">
        <v>0</v>
      </c>
      <c r="Z76" s="27">
        <f t="shared" si="9"/>
        <v>225000</v>
      </c>
    </row>
    <row r="77" spans="1:26" ht="109.2">
      <c r="A77" s="95"/>
      <c r="B77" s="25">
        <v>30</v>
      </c>
      <c r="C77" s="27"/>
      <c r="D77" s="27"/>
      <c r="E77" s="27"/>
      <c r="F77" s="28"/>
      <c r="G77" s="28"/>
      <c r="H77" s="27"/>
      <c r="I77" s="27"/>
      <c r="J77" s="27"/>
      <c r="K77" s="31"/>
      <c r="L77" s="27"/>
      <c r="M77" s="27"/>
      <c r="N77" s="27" t="s">
        <v>78</v>
      </c>
      <c r="O77" s="27" t="s">
        <v>79</v>
      </c>
      <c r="P77" s="27" t="s">
        <v>80</v>
      </c>
      <c r="Q77" s="33">
        <v>1</v>
      </c>
      <c r="R77" s="94" t="s">
        <v>81</v>
      </c>
      <c r="S77" s="34" t="s">
        <v>82</v>
      </c>
      <c r="T77" s="35">
        <v>225000</v>
      </c>
      <c r="U77" s="94" t="s">
        <v>83</v>
      </c>
      <c r="V77" s="36">
        <v>0</v>
      </c>
      <c r="W77" s="36">
        <v>0</v>
      </c>
      <c r="X77" s="36">
        <v>0</v>
      </c>
      <c r="Y77" s="36">
        <v>0</v>
      </c>
      <c r="Z77" s="27">
        <f t="shared" si="9"/>
        <v>225000</v>
      </c>
    </row>
    <row r="78" spans="1:26" ht="109.2">
      <c r="A78" s="95"/>
      <c r="B78" s="25">
        <v>31</v>
      </c>
      <c r="C78" s="27"/>
      <c r="D78" s="27"/>
      <c r="E78" s="27"/>
      <c r="F78" s="28"/>
      <c r="G78" s="28"/>
      <c r="H78" s="27"/>
      <c r="I78" s="27"/>
      <c r="J78" s="27"/>
      <c r="K78" s="31"/>
      <c r="L78" s="27"/>
      <c r="M78" s="27"/>
      <c r="N78" s="27" t="s">
        <v>78</v>
      </c>
      <c r="O78" s="27" t="s">
        <v>79</v>
      </c>
      <c r="P78" s="27" t="s">
        <v>80</v>
      </c>
      <c r="Q78" s="33">
        <v>1</v>
      </c>
      <c r="R78" s="94" t="s">
        <v>81</v>
      </c>
      <c r="S78" s="34" t="s">
        <v>82</v>
      </c>
      <c r="T78" s="35">
        <v>225000</v>
      </c>
      <c r="U78" s="94" t="s">
        <v>83</v>
      </c>
      <c r="V78" s="36">
        <v>0</v>
      </c>
      <c r="W78" s="36">
        <v>0</v>
      </c>
      <c r="X78" s="36">
        <v>0</v>
      </c>
      <c r="Y78" s="36">
        <v>0</v>
      </c>
      <c r="Z78" s="27">
        <f t="shared" si="9"/>
        <v>225000</v>
      </c>
    </row>
    <row r="79" spans="1:26" ht="109.2">
      <c r="A79" s="95"/>
      <c r="B79" s="25">
        <v>32</v>
      </c>
      <c r="C79" s="27"/>
      <c r="D79" s="27"/>
      <c r="E79" s="27"/>
      <c r="F79" s="28"/>
      <c r="G79" s="28"/>
      <c r="H79" s="27"/>
      <c r="I79" s="27"/>
      <c r="J79" s="27"/>
      <c r="K79" s="31"/>
      <c r="L79" s="27"/>
      <c r="M79" s="27"/>
      <c r="N79" s="27" t="s">
        <v>78</v>
      </c>
      <c r="O79" s="27" t="s">
        <v>79</v>
      </c>
      <c r="P79" s="27" t="s">
        <v>80</v>
      </c>
      <c r="Q79" s="33">
        <v>1</v>
      </c>
      <c r="R79" s="94" t="s">
        <v>81</v>
      </c>
      <c r="S79" s="34" t="s">
        <v>82</v>
      </c>
      <c r="T79" s="35">
        <v>150000</v>
      </c>
      <c r="U79" s="94" t="s">
        <v>83</v>
      </c>
      <c r="V79" s="36">
        <v>0</v>
      </c>
      <c r="W79" s="36">
        <v>0</v>
      </c>
      <c r="X79" s="36">
        <v>0</v>
      </c>
      <c r="Y79" s="36">
        <v>0</v>
      </c>
      <c r="Z79" s="27">
        <f t="shared" si="9"/>
        <v>150000</v>
      </c>
    </row>
    <row r="80" spans="1:26" ht="109.2">
      <c r="A80" s="95"/>
      <c r="B80" s="25">
        <v>33</v>
      </c>
      <c r="C80" s="27"/>
      <c r="D80" s="27"/>
      <c r="E80" s="27"/>
      <c r="F80" s="28"/>
      <c r="G80" s="28"/>
      <c r="H80" s="27"/>
      <c r="I80" s="27"/>
      <c r="J80" s="27"/>
      <c r="K80" s="31"/>
      <c r="L80" s="27"/>
      <c r="M80" s="27"/>
      <c r="N80" s="27" t="s">
        <v>78</v>
      </c>
      <c r="O80" s="27" t="s">
        <v>79</v>
      </c>
      <c r="P80" s="27" t="s">
        <v>80</v>
      </c>
      <c r="Q80" s="33">
        <v>1</v>
      </c>
      <c r="R80" s="94" t="s">
        <v>81</v>
      </c>
      <c r="S80" s="34" t="s">
        <v>82</v>
      </c>
      <c r="T80" s="35">
        <v>150000</v>
      </c>
      <c r="U80" s="94" t="s">
        <v>83</v>
      </c>
      <c r="V80" s="36">
        <v>0</v>
      </c>
      <c r="W80" s="36">
        <v>0</v>
      </c>
      <c r="X80" s="36">
        <v>0</v>
      </c>
      <c r="Y80" s="36">
        <v>0</v>
      </c>
      <c r="Z80" s="27">
        <f t="shared" si="9"/>
        <v>150000</v>
      </c>
    </row>
    <row r="81" spans="1:26" ht="109.2">
      <c r="A81" s="95"/>
      <c r="B81" s="25">
        <v>34</v>
      </c>
      <c r="C81" s="27"/>
      <c r="D81" s="27"/>
      <c r="E81" s="27"/>
      <c r="F81" s="28"/>
      <c r="G81" s="28"/>
      <c r="H81" s="27"/>
      <c r="I81" s="27"/>
      <c r="J81" s="27"/>
      <c r="K81" s="31"/>
      <c r="L81" s="27"/>
      <c r="M81" s="27"/>
      <c r="N81" s="27" t="s">
        <v>78</v>
      </c>
      <c r="O81" s="27" t="s">
        <v>79</v>
      </c>
      <c r="P81" s="27" t="s">
        <v>80</v>
      </c>
      <c r="Q81" s="33">
        <v>1</v>
      </c>
      <c r="R81" s="94" t="s">
        <v>81</v>
      </c>
      <c r="S81" s="34" t="s">
        <v>82</v>
      </c>
      <c r="T81" s="35">
        <v>150000</v>
      </c>
      <c r="U81" s="94" t="s">
        <v>83</v>
      </c>
      <c r="V81" s="36">
        <v>0</v>
      </c>
      <c r="W81" s="36">
        <v>0</v>
      </c>
      <c r="X81" s="36">
        <v>0</v>
      </c>
      <c r="Y81" s="36">
        <v>0</v>
      </c>
      <c r="Z81" s="27">
        <f t="shared" si="9"/>
        <v>150000</v>
      </c>
    </row>
    <row r="82" spans="1:26" ht="109.2">
      <c r="A82" s="95"/>
      <c r="B82" s="25">
        <v>35</v>
      </c>
      <c r="C82" s="27"/>
      <c r="D82" s="27"/>
      <c r="E82" s="27"/>
      <c r="F82" s="28"/>
      <c r="G82" s="28"/>
      <c r="H82" s="27"/>
      <c r="I82" s="27"/>
      <c r="J82" s="27"/>
      <c r="K82" s="31"/>
      <c r="L82" s="27"/>
      <c r="M82" s="27"/>
      <c r="N82" s="27" t="s">
        <v>78</v>
      </c>
      <c r="O82" s="27" t="s">
        <v>79</v>
      </c>
      <c r="P82" s="27" t="s">
        <v>80</v>
      </c>
      <c r="Q82" s="33">
        <v>1</v>
      </c>
      <c r="R82" s="94" t="s">
        <v>81</v>
      </c>
      <c r="S82" s="34" t="s">
        <v>82</v>
      </c>
      <c r="T82" s="35">
        <v>150000</v>
      </c>
      <c r="U82" s="94" t="s">
        <v>83</v>
      </c>
      <c r="V82" s="36">
        <v>0</v>
      </c>
      <c r="W82" s="36">
        <v>0</v>
      </c>
      <c r="X82" s="36">
        <v>0</v>
      </c>
      <c r="Y82" s="36">
        <v>0</v>
      </c>
      <c r="Z82" s="27">
        <f t="shared" si="9"/>
        <v>150000</v>
      </c>
    </row>
    <row r="83" spans="1:26" ht="109.2">
      <c r="A83" s="95"/>
      <c r="B83" s="25">
        <v>36</v>
      </c>
      <c r="C83" s="27"/>
      <c r="D83" s="27"/>
      <c r="E83" s="27"/>
      <c r="F83" s="28"/>
      <c r="G83" s="28"/>
      <c r="H83" s="27"/>
      <c r="I83" s="27"/>
      <c r="J83" s="27"/>
      <c r="K83" s="31"/>
      <c r="L83" s="27"/>
      <c r="M83" s="27"/>
      <c r="N83" s="27" t="s">
        <v>78</v>
      </c>
      <c r="O83" s="27" t="s">
        <v>79</v>
      </c>
      <c r="P83" s="27" t="s">
        <v>80</v>
      </c>
      <c r="Q83" s="33">
        <v>1</v>
      </c>
      <c r="R83" s="94" t="s">
        <v>81</v>
      </c>
      <c r="S83" s="34" t="s">
        <v>82</v>
      </c>
      <c r="T83" s="35">
        <v>150000</v>
      </c>
      <c r="U83" s="94" t="s">
        <v>83</v>
      </c>
      <c r="V83" s="36">
        <v>0</v>
      </c>
      <c r="W83" s="36">
        <v>0</v>
      </c>
      <c r="X83" s="36">
        <v>0</v>
      </c>
      <c r="Y83" s="36">
        <v>0</v>
      </c>
      <c r="Z83" s="27">
        <f t="shared" si="9"/>
        <v>150000</v>
      </c>
    </row>
    <row r="84" spans="1:26" ht="109.2">
      <c r="A84" s="95"/>
      <c r="B84" s="25">
        <v>37</v>
      </c>
      <c r="C84" s="27"/>
      <c r="D84" s="27"/>
      <c r="E84" s="27"/>
      <c r="F84" s="28"/>
      <c r="G84" s="28"/>
      <c r="H84" s="27"/>
      <c r="I84" s="27"/>
      <c r="J84" s="27"/>
      <c r="K84" s="31"/>
      <c r="L84" s="27"/>
      <c r="M84" s="27"/>
      <c r="N84" s="27" t="s">
        <v>78</v>
      </c>
      <c r="O84" s="27" t="s">
        <v>79</v>
      </c>
      <c r="P84" s="27" t="s">
        <v>80</v>
      </c>
      <c r="Q84" s="33">
        <v>1</v>
      </c>
      <c r="R84" s="94" t="s">
        <v>81</v>
      </c>
      <c r="S84" s="34" t="s">
        <v>82</v>
      </c>
      <c r="T84" s="35">
        <v>150000</v>
      </c>
      <c r="U84" s="94" t="s">
        <v>83</v>
      </c>
      <c r="V84" s="36">
        <v>0</v>
      </c>
      <c r="W84" s="36">
        <v>0</v>
      </c>
      <c r="X84" s="36">
        <v>0</v>
      </c>
      <c r="Y84" s="36">
        <v>0</v>
      </c>
      <c r="Z84" s="27">
        <f t="shared" si="9"/>
        <v>150000</v>
      </c>
    </row>
    <row r="85" spans="1:26" ht="109.2">
      <c r="A85" s="95"/>
      <c r="B85" s="25">
        <v>38</v>
      </c>
      <c r="C85" s="27"/>
      <c r="D85" s="27"/>
      <c r="E85" s="27"/>
      <c r="F85" s="28"/>
      <c r="G85" s="28"/>
      <c r="H85" s="27"/>
      <c r="I85" s="27"/>
      <c r="J85" s="27"/>
      <c r="K85" s="31" t="s">
        <v>36</v>
      </c>
      <c r="L85" s="27">
        <v>0</v>
      </c>
      <c r="M85" s="27">
        <v>1</v>
      </c>
      <c r="N85" s="27" t="s">
        <v>78</v>
      </c>
      <c r="O85" s="27" t="s">
        <v>79</v>
      </c>
      <c r="P85" s="27" t="s">
        <v>80</v>
      </c>
      <c r="Q85" s="33">
        <v>1</v>
      </c>
      <c r="R85" s="94" t="s">
        <v>81</v>
      </c>
      <c r="S85" s="34" t="s">
        <v>82</v>
      </c>
      <c r="T85" s="35">
        <v>150000</v>
      </c>
      <c r="U85" s="94" t="s">
        <v>83</v>
      </c>
      <c r="V85" s="36">
        <v>0</v>
      </c>
      <c r="W85" s="36">
        <v>0</v>
      </c>
      <c r="X85" s="36">
        <v>0</v>
      </c>
      <c r="Y85" s="36">
        <v>0</v>
      </c>
      <c r="Z85" s="27">
        <f t="shared" si="9"/>
        <v>150000</v>
      </c>
    </row>
    <row r="86" spans="1:26" ht="109.2">
      <c r="A86" s="95"/>
      <c r="B86" s="25">
        <v>39</v>
      </c>
      <c r="C86" s="27"/>
      <c r="D86" s="27"/>
      <c r="E86" s="27"/>
      <c r="F86" s="28"/>
      <c r="G86" s="28"/>
      <c r="H86" s="27"/>
      <c r="I86" s="27"/>
      <c r="J86" s="27"/>
      <c r="K86" s="31" t="s">
        <v>36</v>
      </c>
      <c r="L86" s="27">
        <v>0</v>
      </c>
      <c r="M86" s="27">
        <v>1</v>
      </c>
      <c r="N86" s="27" t="s">
        <v>78</v>
      </c>
      <c r="O86" s="27" t="s">
        <v>79</v>
      </c>
      <c r="P86" s="27" t="s">
        <v>80</v>
      </c>
      <c r="Q86" s="33">
        <v>1</v>
      </c>
      <c r="R86" s="94" t="s">
        <v>81</v>
      </c>
      <c r="S86" s="34" t="s">
        <v>82</v>
      </c>
      <c r="T86" s="35">
        <v>150000</v>
      </c>
      <c r="U86" s="94" t="s">
        <v>83</v>
      </c>
      <c r="V86" s="36">
        <v>0</v>
      </c>
      <c r="W86" s="36">
        <v>0</v>
      </c>
      <c r="X86" s="36">
        <v>0</v>
      </c>
      <c r="Y86" s="36">
        <v>0</v>
      </c>
      <c r="Z86" s="27">
        <f t="shared" si="9"/>
        <v>150000</v>
      </c>
    </row>
    <row r="87" spans="1:26" ht="109.2">
      <c r="A87" s="95"/>
      <c r="B87" s="25">
        <v>40</v>
      </c>
      <c r="C87" s="27"/>
      <c r="D87" s="27"/>
      <c r="E87" s="27"/>
      <c r="F87" s="28"/>
      <c r="G87" s="28"/>
      <c r="H87" s="27"/>
      <c r="I87" s="27"/>
      <c r="J87" s="27"/>
      <c r="K87" s="31" t="s">
        <v>36</v>
      </c>
      <c r="L87" s="27">
        <v>0</v>
      </c>
      <c r="M87" s="27">
        <v>1</v>
      </c>
      <c r="N87" s="27" t="s">
        <v>78</v>
      </c>
      <c r="O87" s="27" t="s">
        <v>79</v>
      </c>
      <c r="P87" s="27" t="s">
        <v>80</v>
      </c>
      <c r="Q87" s="33">
        <v>1</v>
      </c>
      <c r="R87" s="94" t="s">
        <v>81</v>
      </c>
      <c r="S87" s="34" t="s">
        <v>82</v>
      </c>
      <c r="T87" s="35">
        <v>150000</v>
      </c>
      <c r="U87" s="94" t="s">
        <v>83</v>
      </c>
      <c r="V87" s="36">
        <v>0</v>
      </c>
      <c r="W87" s="36">
        <v>0</v>
      </c>
      <c r="X87" s="36">
        <v>0</v>
      </c>
      <c r="Y87" s="36">
        <v>0</v>
      </c>
      <c r="Z87" s="27">
        <f t="shared" si="9"/>
        <v>150000</v>
      </c>
    </row>
    <row r="88" spans="1:26" ht="109.2">
      <c r="A88" s="95"/>
      <c r="B88" s="25">
        <v>41</v>
      </c>
      <c r="C88" s="27"/>
      <c r="D88" s="27"/>
      <c r="E88" s="27"/>
      <c r="F88" s="28"/>
      <c r="G88" s="28"/>
      <c r="H88" s="27"/>
      <c r="I88" s="27"/>
      <c r="J88" s="27"/>
      <c r="K88" s="31" t="s">
        <v>36</v>
      </c>
      <c r="L88" s="27">
        <v>0</v>
      </c>
      <c r="M88" s="27">
        <v>1</v>
      </c>
      <c r="N88" s="27" t="s">
        <v>78</v>
      </c>
      <c r="O88" s="27" t="s">
        <v>79</v>
      </c>
      <c r="P88" s="27" t="s">
        <v>80</v>
      </c>
      <c r="Q88" s="33">
        <v>1</v>
      </c>
      <c r="R88" s="94" t="s">
        <v>81</v>
      </c>
      <c r="S88" s="34" t="s">
        <v>82</v>
      </c>
      <c r="T88" s="35">
        <v>150000</v>
      </c>
      <c r="U88" s="94" t="s">
        <v>83</v>
      </c>
      <c r="V88" s="36">
        <v>0</v>
      </c>
      <c r="W88" s="36">
        <v>0</v>
      </c>
      <c r="X88" s="36">
        <v>0</v>
      </c>
      <c r="Y88" s="36">
        <v>0</v>
      </c>
      <c r="Z88" s="27">
        <f t="shared" si="9"/>
        <v>150000</v>
      </c>
    </row>
    <row r="89" spans="1:26" ht="109.2">
      <c r="A89" s="95"/>
      <c r="B89" s="25">
        <v>42</v>
      </c>
      <c r="C89" s="27"/>
      <c r="D89" s="27"/>
      <c r="E89" s="27"/>
      <c r="F89" s="28"/>
      <c r="G89" s="28"/>
      <c r="H89" s="27"/>
      <c r="I89" s="27"/>
      <c r="J89" s="27"/>
      <c r="K89" s="31" t="s">
        <v>36</v>
      </c>
      <c r="L89" s="27">
        <v>0</v>
      </c>
      <c r="M89" s="27">
        <v>1</v>
      </c>
      <c r="N89" s="27" t="s">
        <v>78</v>
      </c>
      <c r="O89" s="27" t="s">
        <v>79</v>
      </c>
      <c r="P89" s="27" t="s">
        <v>80</v>
      </c>
      <c r="Q89" s="33">
        <v>1</v>
      </c>
      <c r="R89" s="94" t="s">
        <v>81</v>
      </c>
      <c r="S89" s="34" t="s">
        <v>82</v>
      </c>
      <c r="T89" s="35">
        <v>150000</v>
      </c>
      <c r="U89" s="94" t="s">
        <v>83</v>
      </c>
      <c r="V89" s="36">
        <v>0</v>
      </c>
      <c r="W89" s="36">
        <v>0</v>
      </c>
      <c r="X89" s="36">
        <v>0</v>
      </c>
      <c r="Y89" s="36">
        <v>0</v>
      </c>
      <c r="Z89" s="27">
        <f t="shared" si="9"/>
        <v>150000</v>
      </c>
    </row>
    <row r="90" spans="1:26" ht="109.2">
      <c r="A90" s="95"/>
      <c r="B90" s="25">
        <v>43</v>
      </c>
      <c r="C90" s="27"/>
      <c r="D90" s="27"/>
      <c r="E90" s="27"/>
      <c r="F90" s="28"/>
      <c r="G90" s="28"/>
      <c r="H90" s="27"/>
      <c r="I90" s="27"/>
      <c r="J90" s="27"/>
      <c r="K90" s="31" t="s">
        <v>36</v>
      </c>
      <c r="L90" s="27">
        <v>0</v>
      </c>
      <c r="M90" s="27">
        <v>1</v>
      </c>
      <c r="N90" s="27" t="s">
        <v>78</v>
      </c>
      <c r="O90" s="27" t="s">
        <v>79</v>
      </c>
      <c r="P90" s="27" t="s">
        <v>80</v>
      </c>
      <c r="Q90" s="33">
        <v>1</v>
      </c>
      <c r="R90" s="94" t="s">
        <v>81</v>
      </c>
      <c r="S90" s="34" t="s">
        <v>82</v>
      </c>
      <c r="T90" s="35">
        <v>150000</v>
      </c>
      <c r="U90" s="94" t="s">
        <v>83</v>
      </c>
      <c r="V90" s="36">
        <v>0</v>
      </c>
      <c r="W90" s="36">
        <v>0</v>
      </c>
      <c r="X90" s="36">
        <v>0</v>
      </c>
      <c r="Y90" s="36">
        <v>0</v>
      </c>
      <c r="Z90" s="27">
        <f t="shared" si="9"/>
        <v>150000</v>
      </c>
    </row>
    <row r="91" spans="1:26" ht="109.2">
      <c r="A91" s="95"/>
      <c r="B91" s="25">
        <v>44</v>
      </c>
      <c r="C91" s="27"/>
      <c r="D91" s="27"/>
      <c r="E91" s="27"/>
      <c r="F91" s="28"/>
      <c r="G91" s="28"/>
      <c r="H91" s="27"/>
      <c r="I91" s="27"/>
      <c r="J91" s="27"/>
      <c r="K91" s="31" t="s">
        <v>36</v>
      </c>
      <c r="L91" s="27">
        <v>0</v>
      </c>
      <c r="M91" s="27">
        <v>1</v>
      </c>
      <c r="N91" s="27" t="s">
        <v>78</v>
      </c>
      <c r="O91" s="27" t="s">
        <v>79</v>
      </c>
      <c r="P91" s="27" t="s">
        <v>80</v>
      </c>
      <c r="Q91" s="33">
        <v>1</v>
      </c>
      <c r="R91" s="94" t="s">
        <v>81</v>
      </c>
      <c r="S91" s="34" t="s">
        <v>82</v>
      </c>
      <c r="T91" s="35">
        <v>150000</v>
      </c>
      <c r="U91" s="94" t="s">
        <v>83</v>
      </c>
      <c r="V91" s="36">
        <v>0</v>
      </c>
      <c r="W91" s="36">
        <v>0</v>
      </c>
      <c r="X91" s="36">
        <v>0</v>
      </c>
      <c r="Y91" s="36">
        <v>0</v>
      </c>
      <c r="Z91" s="27">
        <f t="shared" si="9"/>
        <v>150000</v>
      </c>
    </row>
    <row r="92" spans="1:26" ht="109.2">
      <c r="A92" s="95"/>
      <c r="B92" s="25">
        <v>45</v>
      </c>
      <c r="C92" s="27"/>
      <c r="D92" s="27"/>
      <c r="E92" s="27"/>
      <c r="F92" s="28"/>
      <c r="G92" s="28"/>
      <c r="H92" s="27"/>
      <c r="I92" s="27"/>
      <c r="J92" s="27"/>
      <c r="K92" s="31" t="s">
        <v>36</v>
      </c>
      <c r="L92" s="27">
        <v>0</v>
      </c>
      <c r="M92" s="27">
        <v>1</v>
      </c>
      <c r="N92" s="27" t="s">
        <v>78</v>
      </c>
      <c r="O92" s="27" t="s">
        <v>79</v>
      </c>
      <c r="P92" s="27" t="s">
        <v>80</v>
      </c>
      <c r="Q92" s="33">
        <v>1</v>
      </c>
      <c r="R92" s="94" t="s">
        <v>81</v>
      </c>
      <c r="S92" s="34" t="s">
        <v>82</v>
      </c>
      <c r="T92" s="35">
        <v>150000</v>
      </c>
      <c r="U92" s="94" t="s">
        <v>83</v>
      </c>
      <c r="V92" s="36">
        <v>0</v>
      </c>
      <c r="W92" s="36">
        <v>0</v>
      </c>
      <c r="X92" s="36">
        <v>0</v>
      </c>
      <c r="Y92" s="36">
        <v>0</v>
      </c>
      <c r="Z92" s="27">
        <f t="shared" si="9"/>
        <v>150000</v>
      </c>
    </row>
    <row r="93" spans="1:26" ht="109.2">
      <c r="A93" s="95"/>
      <c r="B93" s="25">
        <v>46</v>
      </c>
      <c r="C93" s="27"/>
      <c r="D93" s="27"/>
      <c r="E93" s="27"/>
      <c r="F93" s="28"/>
      <c r="G93" s="28"/>
      <c r="H93" s="27"/>
      <c r="I93" s="27"/>
      <c r="J93" s="27"/>
      <c r="K93" s="31" t="s">
        <v>36</v>
      </c>
      <c r="L93" s="27">
        <v>0</v>
      </c>
      <c r="M93" s="27">
        <v>1</v>
      </c>
      <c r="N93" s="27" t="s">
        <v>78</v>
      </c>
      <c r="O93" s="27" t="s">
        <v>79</v>
      </c>
      <c r="P93" s="27" t="s">
        <v>80</v>
      </c>
      <c r="Q93" s="33">
        <v>1</v>
      </c>
      <c r="R93" s="94" t="s">
        <v>81</v>
      </c>
      <c r="S93" s="34" t="s">
        <v>82</v>
      </c>
      <c r="T93" s="35">
        <v>150000</v>
      </c>
      <c r="U93" s="94" t="s">
        <v>83</v>
      </c>
      <c r="V93" s="36">
        <v>0</v>
      </c>
      <c r="W93" s="36">
        <v>0</v>
      </c>
      <c r="X93" s="36">
        <v>0</v>
      </c>
      <c r="Y93" s="36">
        <v>0</v>
      </c>
      <c r="Z93" s="27">
        <f t="shared" si="9"/>
        <v>150000</v>
      </c>
    </row>
    <row r="94" spans="1:26" ht="109.2">
      <c r="A94" s="95"/>
      <c r="B94" s="25">
        <v>47</v>
      </c>
      <c r="C94" s="27"/>
      <c r="D94" s="27"/>
      <c r="E94" s="27"/>
      <c r="F94" s="28"/>
      <c r="G94" s="28"/>
      <c r="H94" s="27"/>
      <c r="I94" s="27"/>
      <c r="J94" s="27"/>
      <c r="K94" s="31" t="s">
        <v>36</v>
      </c>
      <c r="L94" s="27">
        <v>0</v>
      </c>
      <c r="M94" s="27">
        <v>1</v>
      </c>
      <c r="N94" s="27" t="s">
        <v>78</v>
      </c>
      <c r="O94" s="27" t="s">
        <v>79</v>
      </c>
      <c r="P94" s="27" t="s">
        <v>80</v>
      </c>
      <c r="Q94" s="33">
        <v>1</v>
      </c>
      <c r="R94" s="94" t="s">
        <v>81</v>
      </c>
      <c r="S94" s="34" t="s">
        <v>82</v>
      </c>
      <c r="T94" s="35">
        <v>150000</v>
      </c>
      <c r="U94" s="94" t="s">
        <v>83</v>
      </c>
      <c r="V94" s="36">
        <v>0</v>
      </c>
      <c r="W94" s="36">
        <v>0</v>
      </c>
      <c r="X94" s="36">
        <v>0</v>
      </c>
      <c r="Y94" s="36">
        <v>0</v>
      </c>
      <c r="Z94" s="27">
        <f t="shared" si="9"/>
        <v>150000</v>
      </c>
    </row>
    <row r="95" spans="1:26" ht="109.2">
      <c r="A95" s="95"/>
      <c r="B95" s="25">
        <v>48</v>
      </c>
      <c r="C95" s="27"/>
      <c r="D95" s="27"/>
      <c r="E95" s="27"/>
      <c r="F95" s="28"/>
      <c r="G95" s="28"/>
      <c r="H95" s="27"/>
      <c r="I95" s="27"/>
      <c r="J95" s="27"/>
      <c r="K95" s="31" t="s">
        <v>36</v>
      </c>
      <c r="L95" s="27">
        <v>0</v>
      </c>
      <c r="M95" s="27">
        <v>1</v>
      </c>
      <c r="N95" s="27" t="s">
        <v>78</v>
      </c>
      <c r="O95" s="27" t="s">
        <v>79</v>
      </c>
      <c r="P95" s="27" t="s">
        <v>80</v>
      </c>
      <c r="Q95" s="33">
        <v>1</v>
      </c>
      <c r="R95" s="94" t="s">
        <v>81</v>
      </c>
      <c r="S95" s="34" t="s">
        <v>82</v>
      </c>
      <c r="T95" s="35">
        <v>150000</v>
      </c>
      <c r="U95" s="94" t="s">
        <v>83</v>
      </c>
      <c r="V95" s="36">
        <v>0</v>
      </c>
      <c r="W95" s="36">
        <v>0</v>
      </c>
      <c r="X95" s="36">
        <v>0</v>
      </c>
      <c r="Y95" s="36">
        <v>0</v>
      </c>
      <c r="Z95" s="27">
        <f t="shared" si="9"/>
        <v>150000</v>
      </c>
    </row>
    <row r="96" spans="1:26" ht="15.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9" t="s">
        <v>42</v>
      </c>
      <c r="L96" s="39">
        <f>SUM(L48:L91)</f>
        <v>0</v>
      </c>
      <c r="M96" s="38"/>
      <c r="N96" s="38"/>
      <c r="O96" s="38"/>
      <c r="P96" s="38"/>
      <c r="Q96" s="38"/>
      <c r="R96" s="38"/>
      <c r="S96" s="38" t="s">
        <v>43</v>
      </c>
      <c r="T96" s="41">
        <f>AVERAGE(T48:T95)</f>
        <v>198437.5</v>
      </c>
      <c r="U96" s="38"/>
      <c r="V96" s="42">
        <f t="shared" ref="V96:Y96" si="10">AVERAGEA(V48:V91)</f>
        <v>0</v>
      </c>
      <c r="W96" s="42">
        <f t="shared" si="10"/>
        <v>0</v>
      </c>
      <c r="X96" s="42">
        <f t="shared" si="10"/>
        <v>0</v>
      </c>
      <c r="Y96" s="42">
        <f t="shared" si="10"/>
        <v>0</v>
      </c>
      <c r="Z96" s="38">
        <f t="shared" si="9"/>
        <v>198437.5</v>
      </c>
    </row>
    <row r="97" spans="1:26" ht="15.6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5.6">
      <c r="A98" s="96"/>
      <c r="B98" s="96"/>
      <c r="C98" s="96"/>
      <c r="D98" s="3" t="str">
        <f>CONCATENATE('[1]1. SH,Input dan Outcome'!C7)</f>
        <v xml:space="preserve">Dinas Pariwisata 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2" thickBot="1">
      <c r="A99" s="86" t="s">
        <v>59</v>
      </c>
      <c r="B99" s="87"/>
      <c r="C99" s="88"/>
      <c r="D99" s="89" t="str">
        <f>CONCATENATE('[1]1. SH,Input dan Outcome'!D22)</f>
        <v>4. A. Penghematan biaya pelatihan serupa</v>
      </c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6.2" thickBot="1">
      <c r="A100" s="7" t="s">
        <v>2</v>
      </c>
      <c r="B100" s="90"/>
      <c r="C100" s="91"/>
      <c r="D100" s="92" t="s">
        <v>3</v>
      </c>
      <c r="E100" s="6"/>
      <c r="F100" s="6"/>
      <c r="G100" s="6"/>
      <c r="H100" s="6"/>
      <c r="I100" s="6"/>
      <c r="J100" s="6"/>
      <c r="K100" s="6"/>
      <c r="L100" s="6"/>
      <c r="M100" s="6"/>
      <c r="N100" s="92" t="s">
        <v>4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93"/>
    </row>
    <row r="101" spans="1:26" ht="118.8">
      <c r="A101" s="61" t="s">
        <v>2</v>
      </c>
      <c r="B101" s="13" t="s">
        <v>5</v>
      </c>
      <c r="C101" s="73" t="s">
        <v>6</v>
      </c>
      <c r="D101" s="74" t="s">
        <v>7</v>
      </c>
      <c r="E101" s="75" t="s">
        <v>8</v>
      </c>
      <c r="F101" s="74" t="s">
        <v>9</v>
      </c>
      <c r="G101" s="75" t="s">
        <v>10</v>
      </c>
      <c r="H101" s="75" t="s">
        <v>11</v>
      </c>
      <c r="I101" s="75" t="s">
        <v>12</v>
      </c>
      <c r="J101" s="74" t="s">
        <v>13</v>
      </c>
      <c r="K101" s="62" t="s">
        <v>14</v>
      </c>
      <c r="L101" s="63" t="s">
        <v>15</v>
      </c>
      <c r="M101" s="63" t="s">
        <v>16</v>
      </c>
      <c r="N101" s="18" t="s">
        <v>17</v>
      </c>
      <c r="O101" s="19" t="s">
        <v>18</v>
      </c>
      <c r="P101" s="19" t="s">
        <v>19</v>
      </c>
      <c r="Q101" s="19" t="s">
        <v>20</v>
      </c>
      <c r="R101" s="19" t="s">
        <v>21</v>
      </c>
      <c r="S101" s="20" t="s">
        <v>22</v>
      </c>
      <c r="T101" s="21" t="s">
        <v>23</v>
      </c>
      <c r="U101" s="20" t="s">
        <v>24</v>
      </c>
      <c r="V101" s="64" t="s">
        <v>25</v>
      </c>
      <c r="W101" s="64" t="s">
        <v>26</v>
      </c>
      <c r="X101" s="64" t="s">
        <v>27</v>
      </c>
      <c r="Y101" s="64" t="s">
        <v>28</v>
      </c>
      <c r="Z101" s="23" t="s">
        <v>29</v>
      </c>
    </row>
    <row r="102" spans="1:26" ht="62.4">
      <c r="A102" s="76"/>
      <c r="B102" s="97">
        <v>1</v>
      </c>
      <c r="C102" s="98" t="s">
        <v>84</v>
      </c>
      <c r="D102" s="66" t="s">
        <v>31</v>
      </c>
      <c r="E102" s="66"/>
      <c r="F102" s="66"/>
      <c r="G102" s="66"/>
      <c r="H102" s="66" t="s">
        <v>85</v>
      </c>
      <c r="I102" s="66"/>
      <c r="J102" s="66"/>
      <c r="K102" s="80" t="s">
        <v>54</v>
      </c>
      <c r="L102" s="27">
        <v>0</v>
      </c>
      <c r="M102" s="27">
        <v>1</v>
      </c>
      <c r="N102" s="27" t="s">
        <v>86</v>
      </c>
      <c r="O102" s="27" t="s">
        <v>87</v>
      </c>
      <c r="P102" s="27" t="s">
        <v>88</v>
      </c>
      <c r="Q102" s="33">
        <v>1</v>
      </c>
      <c r="R102" s="34" t="s">
        <v>53</v>
      </c>
      <c r="S102" s="52" t="s">
        <v>89</v>
      </c>
      <c r="T102" s="99">
        <v>135413815</v>
      </c>
      <c r="U102" s="52" t="s">
        <v>90</v>
      </c>
      <c r="V102" s="36">
        <v>0</v>
      </c>
      <c r="W102" s="36">
        <v>0</v>
      </c>
      <c r="X102" s="36">
        <v>0</v>
      </c>
      <c r="Y102" s="36">
        <v>0</v>
      </c>
      <c r="Z102" s="37">
        <f t="shared" ref="Z102:Z103" si="11">T102*(1-V102)*(1-W102)*(1-X102)*(1-Y102)</f>
        <v>135413815</v>
      </c>
    </row>
    <row r="103" spans="1:26" ht="15.6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9" t="s">
        <v>42</v>
      </c>
      <c r="L103" s="39">
        <f>SUM(L102)</f>
        <v>0</v>
      </c>
      <c r="M103" s="38"/>
      <c r="N103" s="38"/>
      <c r="O103" s="38"/>
      <c r="P103" s="38"/>
      <c r="Q103" s="38"/>
      <c r="R103" s="38"/>
      <c r="S103" s="38" t="s">
        <v>43</v>
      </c>
      <c r="T103" s="41">
        <f>AVERAGE(T102)</f>
        <v>135413815</v>
      </c>
      <c r="U103" s="38"/>
      <c r="V103" s="42">
        <f t="shared" ref="V103:Y103" si="12">AVERAGEA(V102)</f>
        <v>0</v>
      </c>
      <c r="W103" s="42">
        <f t="shared" si="12"/>
        <v>0</v>
      </c>
      <c r="X103" s="42">
        <f t="shared" si="12"/>
        <v>0</v>
      </c>
      <c r="Y103" s="42">
        <f t="shared" si="12"/>
        <v>0</v>
      </c>
      <c r="Z103" s="41">
        <f t="shared" si="11"/>
        <v>135413815</v>
      </c>
    </row>
    <row r="104" spans="1:26" ht="15.6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5.6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6.2" thickBot="1">
      <c r="A106" s="86" t="s">
        <v>59</v>
      </c>
      <c r="B106" s="87"/>
      <c r="C106" s="88"/>
      <c r="D106" s="89" t="e">
        <f>#REF!</f>
        <v>#REF!</v>
      </c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6.2" thickBot="1">
      <c r="A107" s="7" t="s">
        <v>2</v>
      </c>
      <c r="B107" s="90"/>
      <c r="C107" s="91"/>
      <c r="D107" s="92" t="s">
        <v>3</v>
      </c>
      <c r="E107" s="6"/>
      <c r="F107" s="6"/>
      <c r="G107" s="6"/>
      <c r="H107" s="6"/>
      <c r="I107" s="6"/>
      <c r="J107" s="6"/>
      <c r="K107" s="6"/>
      <c r="L107" s="6"/>
      <c r="M107" s="6"/>
      <c r="N107" s="92" t="s">
        <v>4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93"/>
    </row>
    <row r="108" spans="1:26" ht="118.8">
      <c r="A108" s="61" t="s">
        <v>2</v>
      </c>
      <c r="B108" s="13" t="s">
        <v>5</v>
      </c>
      <c r="C108" s="13" t="s">
        <v>6</v>
      </c>
      <c r="D108" s="14" t="s">
        <v>7</v>
      </c>
      <c r="E108" s="15" t="s">
        <v>8</v>
      </c>
      <c r="F108" s="14" t="s">
        <v>9</v>
      </c>
      <c r="G108" s="15" t="s">
        <v>10</v>
      </c>
      <c r="H108" s="15" t="s">
        <v>11</v>
      </c>
      <c r="I108" s="15" t="s">
        <v>12</v>
      </c>
      <c r="J108" s="14" t="s">
        <v>13</v>
      </c>
      <c r="K108" s="62" t="s">
        <v>14</v>
      </c>
      <c r="L108" s="63" t="s">
        <v>15</v>
      </c>
      <c r="M108" s="63" t="s">
        <v>16</v>
      </c>
      <c r="N108" s="18" t="s">
        <v>17</v>
      </c>
      <c r="O108" s="19" t="s">
        <v>18</v>
      </c>
      <c r="P108" s="19" t="s">
        <v>19</v>
      </c>
      <c r="Q108" s="19" t="s">
        <v>20</v>
      </c>
      <c r="R108" s="19" t="s">
        <v>21</v>
      </c>
      <c r="S108" s="20" t="s">
        <v>22</v>
      </c>
      <c r="T108" s="21" t="s">
        <v>23</v>
      </c>
      <c r="U108" s="20" t="s">
        <v>24</v>
      </c>
      <c r="V108" s="64" t="s">
        <v>25</v>
      </c>
      <c r="W108" s="64" t="s">
        <v>26</v>
      </c>
      <c r="X108" s="64" t="s">
        <v>27</v>
      </c>
      <c r="Y108" s="64" t="s">
        <v>28</v>
      </c>
      <c r="Z108" s="23" t="s">
        <v>29</v>
      </c>
    </row>
    <row r="109" spans="1:26" ht="62.4">
      <c r="A109" s="76"/>
      <c r="B109" s="27">
        <v>1</v>
      </c>
      <c r="C109" s="98"/>
      <c r="D109" s="66"/>
      <c r="E109" s="66"/>
      <c r="F109" s="66"/>
      <c r="G109" s="66"/>
      <c r="H109" s="66"/>
      <c r="I109" s="66"/>
      <c r="J109" s="66"/>
      <c r="K109" s="80" t="s">
        <v>54</v>
      </c>
      <c r="L109" s="27">
        <v>0</v>
      </c>
      <c r="M109" s="27">
        <v>1</v>
      </c>
      <c r="N109" s="81" t="s">
        <v>91</v>
      </c>
      <c r="O109" s="81" t="s">
        <v>74</v>
      </c>
      <c r="P109" s="81" t="s">
        <v>75</v>
      </c>
      <c r="Q109" s="33">
        <v>1</v>
      </c>
      <c r="R109" s="82" t="s">
        <v>53</v>
      </c>
      <c r="S109" s="83" t="s">
        <v>76</v>
      </c>
      <c r="T109" s="35">
        <v>4000000</v>
      </c>
      <c r="U109" s="84" t="s">
        <v>77</v>
      </c>
      <c r="V109" s="36">
        <v>0</v>
      </c>
      <c r="W109" s="36">
        <v>0</v>
      </c>
      <c r="X109" s="36">
        <v>0</v>
      </c>
      <c r="Y109" s="36">
        <v>0</v>
      </c>
      <c r="Z109" s="37">
        <f t="shared" ref="Z109:Z160" si="13">T109*(1-V109)*(1-W109)*(1-X109)*(1-Y109)</f>
        <v>4000000</v>
      </c>
    </row>
    <row r="110" spans="1:26" ht="16.8">
      <c r="A110" s="95"/>
      <c r="B110" s="27">
        <v>2</v>
      </c>
      <c r="C110" s="98"/>
      <c r="D110" s="66"/>
      <c r="E110" s="66"/>
      <c r="F110" s="66"/>
      <c r="G110" s="66"/>
      <c r="H110" s="66"/>
      <c r="I110" s="66"/>
      <c r="J110" s="66"/>
      <c r="K110" s="80"/>
      <c r="L110" s="27"/>
      <c r="M110" s="27"/>
      <c r="N110" s="81" t="s">
        <v>91</v>
      </c>
      <c r="O110" s="81" t="s">
        <v>74</v>
      </c>
      <c r="P110" s="81" t="s">
        <v>75</v>
      </c>
      <c r="Q110" s="33">
        <v>1</v>
      </c>
      <c r="R110" s="82" t="s">
        <v>53</v>
      </c>
      <c r="S110" s="83" t="s">
        <v>76</v>
      </c>
      <c r="T110" s="35">
        <v>4000000</v>
      </c>
      <c r="U110" s="84" t="s">
        <v>77</v>
      </c>
      <c r="V110" s="36">
        <v>0</v>
      </c>
      <c r="W110" s="36">
        <v>0</v>
      </c>
      <c r="X110" s="36">
        <v>0</v>
      </c>
      <c r="Y110" s="36">
        <v>0</v>
      </c>
      <c r="Z110" s="37">
        <f t="shared" si="13"/>
        <v>4000000</v>
      </c>
    </row>
    <row r="111" spans="1:26" ht="16.8">
      <c r="A111" s="95"/>
      <c r="B111" s="27">
        <v>3</v>
      </c>
      <c r="C111" s="98"/>
      <c r="D111" s="66"/>
      <c r="E111" s="66"/>
      <c r="F111" s="66"/>
      <c r="G111" s="66"/>
      <c r="H111" s="66"/>
      <c r="I111" s="66"/>
      <c r="J111" s="66"/>
      <c r="K111" s="80"/>
      <c r="L111" s="27"/>
      <c r="M111" s="27"/>
      <c r="N111" s="81" t="s">
        <v>91</v>
      </c>
      <c r="O111" s="81" t="s">
        <v>74</v>
      </c>
      <c r="P111" s="81" t="s">
        <v>75</v>
      </c>
      <c r="Q111" s="33">
        <v>1</v>
      </c>
      <c r="R111" s="82" t="s">
        <v>53</v>
      </c>
      <c r="S111" s="83" t="s">
        <v>76</v>
      </c>
      <c r="T111" s="35">
        <v>4000000</v>
      </c>
      <c r="U111" s="84" t="s">
        <v>77</v>
      </c>
      <c r="V111" s="36">
        <v>0</v>
      </c>
      <c r="W111" s="36">
        <v>0</v>
      </c>
      <c r="X111" s="36">
        <v>0</v>
      </c>
      <c r="Y111" s="36">
        <v>0</v>
      </c>
      <c r="Z111" s="37">
        <f t="shared" si="13"/>
        <v>4000000</v>
      </c>
    </row>
    <row r="112" spans="1:26" ht="16.8">
      <c r="A112" s="95"/>
      <c r="B112" s="27">
        <v>4</v>
      </c>
      <c r="C112" s="98"/>
      <c r="D112" s="66"/>
      <c r="E112" s="66"/>
      <c r="F112" s="66"/>
      <c r="G112" s="66"/>
      <c r="H112" s="66"/>
      <c r="I112" s="66"/>
      <c r="J112" s="66"/>
      <c r="K112" s="80"/>
      <c r="L112" s="27"/>
      <c r="M112" s="27"/>
      <c r="N112" s="81" t="s">
        <v>91</v>
      </c>
      <c r="O112" s="81" t="s">
        <v>74</v>
      </c>
      <c r="P112" s="81" t="s">
        <v>75</v>
      </c>
      <c r="Q112" s="33">
        <v>1</v>
      </c>
      <c r="R112" s="82" t="s">
        <v>53</v>
      </c>
      <c r="S112" s="83" t="s">
        <v>76</v>
      </c>
      <c r="T112" s="35">
        <v>4000000</v>
      </c>
      <c r="U112" s="84" t="s">
        <v>77</v>
      </c>
      <c r="V112" s="36">
        <v>0</v>
      </c>
      <c r="W112" s="36">
        <v>0</v>
      </c>
      <c r="X112" s="36">
        <v>0</v>
      </c>
      <c r="Y112" s="36">
        <v>0</v>
      </c>
      <c r="Z112" s="37">
        <f t="shared" si="13"/>
        <v>4000000</v>
      </c>
    </row>
    <row r="113" spans="1:26" ht="16.8">
      <c r="A113" s="95"/>
      <c r="B113" s="27">
        <v>5</v>
      </c>
      <c r="C113" s="98"/>
      <c r="D113" s="66"/>
      <c r="E113" s="66"/>
      <c r="F113" s="66"/>
      <c r="G113" s="66"/>
      <c r="H113" s="66"/>
      <c r="I113" s="66"/>
      <c r="J113" s="66"/>
      <c r="K113" s="80"/>
      <c r="L113" s="27"/>
      <c r="M113" s="27"/>
      <c r="N113" s="81" t="s">
        <v>91</v>
      </c>
      <c r="O113" s="81" t="s">
        <v>74</v>
      </c>
      <c r="P113" s="81" t="s">
        <v>75</v>
      </c>
      <c r="Q113" s="33">
        <v>1</v>
      </c>
      <c r="R113" s="82" t="s">
        <v>53</v>
      </c>
      <c r="S113" s="83" t="s">
        <v>76</v>
      </c>
      <c r="T113" s="35">
        <v>4000000</v>
      </c>
      <c r="U113" s="84" t="s">
        <v>77</v>
      </c>
      <c r="V113" s="36">
        <v>0</v>
      </c>
      <c r="W113" s="36">
        <v>0</v>
      </c>
      <c r="X113" s="36">
        <v>0</v>
      </c>
      <c r="Y113" s="36">
        <v>0</v>
      </c>
      <c r="Z113" s="37">
        <f t="shared" si="13"/>
        <v>4000000</v>
      </c>
    </row>
    <row r="114" spans="1:26" ht="16.8">
      <c r="A114" s="95"/>
      <c r="B114" s="27">
        <v>6</v>
      </c>
      <c r="C114" s="98"/>
      <c r="D114" s="66"/>
      <c r="E114" s="66"/>
      <c r="F114" s="66"/>
      <c r="G114" s="66"/>
      <c r="H114" s="66"/>
      <c r="I114" s="66"/>
      <c r="J114" s="66"/>
      <c r="K114" s="80"/>
      <c r="L114" s="27"/>
      <c r="M114" s="27"/>
      <c r="N114" s="81" t="s">
        <v>91</v>
      </c>
      <c r="O114" s="81" t="s">
        <v>74</v>
      </c>
      <c r="P114" s="81" t="s">
        <v>75</v>
      </c>
      <c r="Q114" s="33">
        <v>1</v>
      </c>
      <c r="R114" s="82" t="s">
        <v>53</v>
      </c>
      <c r="S114" s="83" t="s">
        <v>76</v>
      </c>
      <c r="T114" s="35">
        <v>4000000</v>
      </c>
      <c r="U114" s="84" t="s">
        <v>77</v>
      </c>
      <c r="V114" s="36">
        <v>0</v>
      </c>
      <c r="W114" s="36">
        <v>0</v>
      </c>
      <c r="X114" s="36">
        <v>0</v>
      </c>
      <c r="Y114" s="36">
        <v>0</v>
      </c>
      <c r="Z114" s="37">
        <f t="shared" si="13"/>
        <v>4000000</v>
      </c>
    </row>
    <row r="115" spans="1:26" ht="16.8">
      <c r="A115" s="95"/>
      <c r="B115" s="27">
        <v>7</v>
      </c>
      <c r="C115" s="98"/>
      <c r="D115" s="66"/>
      <c r="E115" s="66"/>
      <c r="F115" s="66"/>
      <c r="G115" s="66"/>
      <c r="H115" s="66"/>
      <c r="I115" s="66"/>
      <c r="J115" s="66"/>
      <c r="K115" s="80"/>
      <c r="L115" s="27"/>
      <c r="M115" s="27"/>
      <c r="N115" s="81" t="s">
        <v>91</v>
      </c>
      <c r="O115" s="81" t="s">
        <v>74</v>
      </c>
      <c r="P115" s="81" t="s">
        <v>75</v>
      </c>
      <c r="Q115" s="33">
        <v>1</v>
      </c>
      <c r="R115" s="82" t="s">
        <v>53</v>
      </c>
      <c r="S115" s="83" t="s">
        <v>76</v>
      </c>
      <c r="T115" s="35">
        <v>4000000</v>
      </c>
      <c r="U115" s="84" t="s">
        <v>77</v>
      </c>
      <c r="V115" s="36">
        <v>0</v>
      </c>
      <c r="W115" s="36">
        <v>0</v>
      </c>
      <c r="X115" s="36">
        <v>0</v>
      </c>
      <c r="Y115" s="36">
        <v>0</v>
      </c>
      <c r="Z115" s="37">
        <f t="shared" si="13"/>
        <v>4000000</v>
      </c>
    </row>
    <row r="116" spans="1:26" ht="16.8">
      <c r="A116" s="95"/>
      <c r="B116" s="27">
        <v>8</v>
      </c>
      <c r="C116" s="98"/>
      <c r="D116" s="66"/>
      <c r="E116" s="66"/>
      <c r="F116" s="66"/>
      <c r="G116" s="66"/>
      <c r="H116" s="66"/>
      <c r="I116" s="66"/>
      <c r="J116" s="66"/>
      <c r="K116" s="80"/>
      <c r="L116" s="27"/>
      <c r="M116" s="27"/>
      <c r="N116" s="81" t="s">
        <v>91</v>
      </c>
      <c r="O116" s="81" t="s">
        <v>74</v>
      </c>
      <c r="P116" s="81" t="s">
        <v>75</v>
      </c>
      <c r="Q116" s="33">
        <v>1</v>
      </c>
      <c r="R116" s="82" t="s">
        <v>53</v>
      </c>
      <c r="S116" s="83" t="s">
        <v>76</v>
      </c>
      <c r="T116" s="35">
        <v>4000000</v>
      </c>
      <c r="U116" s="84" t="s">
        <v>77</v>
      </c>
      <c r="V116" s="36">
        <v>0</v>
      </c>
      <c r="W116" s="36">
        <v>0</v>
      </c>
      <c r="X116" s="36">
        <v>0</v>
      </c>
      <c r="Y116" s="36">
        <v>0</v>
      </c>
      <c r="Z116" s="37">
        <f t="shared" si="13"/>
        <v>4000000</v>
      </c>
    </row>
    <row r="117" spans="1:26" ht="16.8">
      <c r="A117" s="95"/>
      <c r="B117" s="27">
        <v>9</v>
      </c>
      <c r="C117" s="98"/>
      <c r="D117" s="66"/>
      <c r="E117" s="66"/>
      <c r="F117" s="66"/>
      <c r="G117" s="66"/>
      <c r="H117" s="66"/>
      <c r="I117" s="66"/>
      <c r="J117" s="66"/>
      <c r="K117" s="80"/>
      <c r="L117" s="27"/>
      <c r="M117" s="27"/>
      <c r="N117" s="81" t="s">
        <v>91</v>
      </c>
      <c r="O117" s="81" t="s">
        <v>74</v>
      </c>
      <c r="P117" s="81" t="s">
        <v>75</v>
      </c>
      <c r="Q117" s="33">
        <v>1</v>
      </c>
      <c r="R117" s="82" t="s">
        <v>53</v>
      </c>
      <c r="S117" s="83" t="s">
        <v>76</v>
      </c>
      <c r="T117" s="35">
        <v>4000000</v>
      </c>
      <c r="U117" s="84" t="s">
        <v>77</v>
      </c>
      <c r="V117" s="36">
        <v>0</v>
      </c>
      <c r="W117" s="36">
        <v>0</v>
      </c>
      <c r="X117" s="36">
        <v>0</v>
      </c>
      <c r="Y117" s="36">
        <v>0</v>
      </c>
      <c r="Z117" s="37">
        <f t="shared" si="13"/>
        <v>4000000</v>
      </c>
    </row>
    <row r="118" spans="1:26" ht="16.8">
      <c r="A118" s="95"/>
      <c r="B118" s="27">
        <v>10</v>
      </c>
      <c r="C118" s="98"/>
      <c r="D118" s="66"/>
      <c r="E118" s="66"/>
      <c r="F118" s="66"/>
      <c r="G118" s="66"/>
      <c r="H118" s="66"/>
      <c r="I118" s="66"/>
      <c r="J118" s="66"/>
      <c r="K118" s="80"/>
      <c r="L118" s="27"/>
      <c r="M118" s="27"/>
      <c r="N118" s="81" t="s">
        <v>91</v>
      </c>
      <c r="O118" s="81" t="s">
        <v>74</v>
      </c>
      <c r="P118" s="81" t="s">
        <v>75</v>
      </c>
      <c r="Q118" s="33">
        <v>1</v>
      </c>
      <c r="R118" s="82" t="s">
        <v>53</v>
      </c>
      <c r="S118" s="83" t="s">
        <v>76</v>
      </c>
      <c r="T118" s="35">
        <v>4000000</v>
      </c>
      <c r="U118" s="84" t="s">
        <v>77</v>
      </c>
      <c r="V118" s="36">
        <v>0</v>
      </c>
      <c r="W118" s="36">
        <v>0</v>
      </c>
      <c r="X118" s="36">
        <v>0</v>
      </c>
      <c r="Y118" s="36">
        <v>0</v>
      </c>
      <c r="Z118" s="37">
        <f t="shared" si="13"/>
        <v>4000000</v>
      </c>
    </row>
    <row r="119" spans="1:26" ht="16.8">
      <c r="A119" s="95"/>
      <c r="B119" s="27">
        <v>11</v>
      </c>
      <c r="C119" s="98"/>
      <c r="D119" s="66"/>
      <c r="E119" s="66"/>
      <c r="F119" s="66"/>
      <c r="G119" s="66"/>
      <c r="H119" s="66"/>
      <c r="I119" s="66"/>
      <c r="J119" s="66"/>
      <c r="K119" s="80"/>
      <c r="L119" s="27"/>
      <c r="M119" s="27"/>
      <c r="N119" s="81" t="s">
        <v>91</v>
      </c>
      <c r="O119" s="81" t="s">
        <v>74</v>
      </c>
      <c r="P119" s="81" t="s">
        <v>75</v>
      </c>
      <c r="Q119" s="33">
        <v>1</v>
      </c>
      <c r="R119" s="82" t="s">
        <v>53</v>
      </c>
      <c r="S119" s="83" t="s">
        <v>76</v>
      </c>
      <c r="T119" s="35">
        <v>4000000</v>
      </c>
      <c r="U119" s="84" t="s">
        <v>77</v>
      </c>
      <c r="V119" s="36">
        <v>0</v>
      </c>
      <c r="W119" s="36">
        <v>0</v>
      </c>
      <c r="X119" s="36">
        <v>0</v>
      </c>
      <c r="Y119" s="36">
        <v>0</v>
      </c>
      <c r="Z119" s="37">
        <f t="shared" si="13"/>
        <v>4000000</v>
      </c>
    </row>
    <row r="120" spans="1:26" ht="16.8">
      <c r="A120" s="95"/>
      <c r="B120" s="27">
        <v>12</v>
      </c>
      <c r="C120" s="98"/>
      <c r="D120" s="66"/>
      <c r="E120" s="66"/>
      <c r="F120" s="66"/>
      <c r="G120" s="66"/>
      <c r="H120" s="66"/>
      <c r="I120" s="66"/>
      <c r="J120" s="66"/>
      <c r="K120" s="80"/>
      <c r="L120" s="27"/>
      <c r="M120" s="27"/>
      <c r="N120" s="81" t="s">
        <v>91</v>
      </c>
      <c r="O120" s="81" t="s">
        <v>74</v>
      </c>
      <c r="P120" s="81" t="s">
        <v>75</v>
      </c>
      <c r="Q120" s="33">
        <v>1</v>
      </c>
      <c r="R120" s="82" t="s">
        <v>53</v>
      </c>
      <c r="S120" s="83" t="s">
        <v>76</v>
      </c>
      <c r="T120" s="35">
        <v>4000000</v>
      </c>
      <c r="U120" s="84" t="s">
        <v>77</v>
      </c>
      <c r="V120" s="36">
        <v>0</v>
      </c>
      <c r="W120" s="36">
        <v>0</v>
      </c>
      <c r="X120" s="36">
        <v>0</v>
      </c>
      <c r="Y120" s="36">
        <v>0</v>
      </c>
      <c r="Z120" s="37">
        <f t="shared" si="13"/>
        <v>4000000</v>
      </c>
    </row>
    <row r="121" spans="1:26" ht="16.8">
      <c r="A121" s="95"/>
      <c r="B121" s="27">
        <v>13</v>
      </c>
      <c r="C121" s="98"/>
      <c r="D121" s="66"/>
      <c r="E121" s="66"/>
      <c r="F121" s="66"/>
      <c r="G121" s="66"/>
      <c r="H121" s="66"/>
      <c r="I121" s="66"/>
      <c r="J121" s="66"/>
      <c r="K121" s="80"/>
      <c r="L121" s="27"/>
      <c r="M121" s="27"/>
      <c r="N121" s="81" t="s">
        <v>91</v>
      </c>
      <c r="O121" s="81" t="s">
        <v>74</v>
      </c>
      <c r="P121" s="81" t="s">
        <v>75</v>
      </c>
      <c r="Q121" s="33">
        <v>1</v>
      </c>
      <c r="R121" s="82" t="s">
        <v>53</v>
      </c>
      <c r="S121" s="83" t="s">
        <v>76</v>
      </c>
      <c r="T121" s="35">
        <v>4000000</v>
      </c>
      <c r="U121" s="84" t="s">
        <v>77</v>
      </c>
      <c r="V121" s="36">
        <v>0</v>
      </c>
      <c r="W121" s="36">
        <v>0</v>
      </c>
      <c r="X121" s="36">
        <v>0</v>
      </c>
      <c r="Y121" s="36">
        <v>0</v>
      </c>
      <c r="Z121" s="37">
        <f t="shared" si="13"/>
        <v>4000000</v>
      </c>
    </row>
    <row r="122" spans="1:26" ht="16.8">
      <c r="A122" s="95"/>
      <c r="B122" s="27">
        <v>14</v>
      </c>
      <c r="C122" s="98"/>
      <c r="D122" s="66"/>
      <c r="E122" s="66"/>
      <c r="F122" s="66"/>
      <c r="G122" s="66"/>
      <c r="H122" s="66"/>
      <c r="I122" s="66"/>
      <c r="J122" s="66"/>
      <c r="K122" s="80"/>
      <c r="L122" s="27"/>
      <c r="M122" s="27"/>
      <c r="N122" s="81" t="s">
        <v>91</v>
      </c>
      <c r="O122" s="81" t="s">
        <v>74</v>
      </c>
      <c r="P122" s="81" t="s">
        <v>75</v>
      </c>
      <c r="Q122" s="33">
        <v>1</v>
      </c>
      <c r="R122" s="82" t="s">
        <v>53</v>
      </c>
      <c r="S122" s="83" t="s">
        <v>76</v>
      </c>
      <c r="T122" s="35">
        <v>4000000</v>
      </c>
      <c r="U122" s="84" t="s">
        <v>77</v>
      </c>
      <c r="V122" s="36">
        <v>0</v>
      </c>
      <c r="W122" s="36">
        <v>0</v>
      </c>
      <c r="X122" s="36">
        <v>0</v>
      </c>
      <c r="Y122" s="36">
        <v>0</v>
      </c>
      <c r="Z122" s="37">
        <f t="shared" si="13"/>
        <v>4000000</v>
      </c>
    </row>
    <row r="123" spans="1:26" ht="16.8">
      <c r="A123" s="95"/>
      <c r="B123" s="27">
        <v>15</v>
      </c>
      <c r="C123" s="98"/>
      <c r="D123" s="66"/>
      <c r="E123" s="66"/>
      <c r="F123" s="66"/>
      <c r="G123" s="66"/>
      <c r="H123" s="66"/>
      <c r="I123" s="66"/>
      <c r="J123" s="66"/>
      <c r="K123" s="80"/>
      <c r="L123" s="27"/>
      <c r="M123" s="27"/>
      <c r="N123" s="81" t="s">
        <v>91</v>
      </c>
      <c r="O123" s="81" t="s">
        <v>74</v>
      </c>
      <c r="P123" s="81" t="s">
        <v>75</v>
      </c>
      <c r="Q123" s="33">
        <v>1</v>
      </c>
      <c r="R123" s="82" t="s">
        <v>53</v>
      </c>
      <c r="S123" s="83" t="s">
        <v>76</v>
      </c>
      <c r="T123" s="35">
        <v>4000000</v>
      </c>
      <c r="U123" s="84" t="s">
        <v>77</v>
      </c>
      <c r="V123" s="36">
        <v>0</v>
      </c>
      <c r="W123" s="36">
        <v>0</v>
      </c>
      <c r="X123" s="36">
        <v>0</v>
      </c>
      <c r="Y123" s="36">
        <v>0</v>
      </c>
      <c r="Z123" s="37">
        <f t="shared" si="13"/>
        <v>4000000</v>
      </c>
    </row>
    <row r="124" spans="1:26" ht="16.8">
      <c r="A124" s="95"/>
      <c r="B124" s="27">
        <v>16</v>
      </c>
      <c r="C124" s="98"/>
      <c r="D124" s="66"/>
      <c r="E124" s="66"/>
      <c r="F124" s="66"/>
      <c r="G124" s="66"/>
      <c r="H124" s="66"/>
      <c r="I124" s="66"/>
      <c r="J124" s="66"/>
      <c r="K124" s="80"/>
      <c r="L124" s="27"/>
      <c r="M124" s="27"/>
      <c r="N124" s="81" t="s">
        <v>91</v>
      </c>
      <c r="O124" s="81" t="s">
        <v>74</v>
      </c>
      <c r="P124" s="81" t="s">
        <v>75</v>
      </c>
      <c r="Q124" s="33">
        <v>1</v>
      </c>
      <c r="R124" s="82" t="s">
        <v>53</v>
      </c>
      <c r="S124" s="83" t="s">
        <v>76</v>
      </c>
      <c r="T124" s="35">
        <v>4000000</v>
      </c>
      <c r="U124" s="84" t="s">
        <v>77</v>
      </c>
      <c r="V124" s="36">
        <v>0</v>
      </c>
      <c r="W124" s="36">
        <v>0</v>
      </c>
      <c r="X124" s="36">
        <v>0</v>
      </c>
      <c r="Y124" s="36">
        <v>0</v>
      </c>
      <c r="Z124" s="37">
        <f t="shared" si="13"/>
        <v>4000000</v>
      </c>
    </row>
    <row r="125" spans="1:26" ht="16.8">
      <c r="A125" s="95"/>
      <c r="B125" s="27">
        <v>17</v>
      </c>
      <c r="C125" s="98"/>
      <c r="D125" s="66"/>
      <c r="E125" s="66"/>
      <c r="F125" s="66"/>
      <c r="G125" s="66"/>
      <c r="H125" s="66"/>
      <c r="I125" s="66"/>
      <c r="J125" s="66"/>
      <c r="K125" s="80"/>
      <c r="L125" s="27"/>
      <c r="M125" s="27"/>
      <c r="N125" s="81" t="s">
        <v>91</v>
      </c>
      <c r="O125" s="81" t="s">
        <v>74</v>
      </c>
      <c r="P125" s="81" t="s">
        <v>75</v>
      </c>
      <c r="Q125" s="33">
        <v>1</v>
      </c>
      <c r="R125" s="82" t="s">
        <v>53</v>
      </c>
      <c r="S125" s="83" t="s">
        <v>76</v>
      </c>
      <c r="T125" s="35">
        <v>4000000</v>
      </c>
      <c r="U125" s="84" t="s">
        <v>77</v>
      </c>
      <c r="V125" s="36">
        <v>0</v>
      </c>
      <c r="W125" s="36">
        <v>0</v>
      </c>
      <c r="X125" s="36">
        <v>0</v>
      </c>
      <c r="Y125" s="36">
        <v>0</v>
      </c>
      <c r="Z125" s="37">
        <f t="shared" si="13"/>
        <v>4000000</v>
      </c>
    </row>
    <row r="126" spans="1:26" ht="16.8">
      <c r="A126" s="95"/>
      <c r="B126" s="27">
        <v>18</v>
      </c>
      <c r="C126" s="98"/>
      <c r="D126" s="66"/>
      <c r="E126" s="66"/>
      <c r="F126" s="66"/>
      <c r="G126" s="66"/>
      <c r="H126" s="66"/>
      <c r="I126" s="66"/>
      <c r="J126" s="66"/>
      <c r="K126" s="80"/>
      <c r="L126" s="27"/>
      <c r="M126" s="27"/>
      <c r="N126" s="81" t="s">
        <v>91</v>
      </c>
      <c r="O126" s="81" t="s">
        <v>74</v>
      </c>
      <c r="P126" s="81" t="s">
        <v>75</v>
      </c>
      <c r="Q126" s="33">
        <v>1</v>
      </c>
      <c r="R126" s="82" t="s">
        <v>53</v>
      </c>
      <c r="S126" s="83" t="s">
        <v>76</v>
      </c>
      <c r="T126" s="35">
        <v>4000000</v>
      </c>
      <c r="U126" s="84" t="s">
        <v>77</v>
      </c>
      <c r="V126" s="36">
        <v>0</v>
      </c>
      <c r="W126" s="36">
        <v>0</v>
      </c>
      <c r="X126" s="36">
        <v>0</v>
      </c>
      <c r="Y126" s="36">
        <v>0</v>
      </c>
      <c r="Z126" s="37">
        <f t="shared" si="13"/>
        <v>4000000</v>
      </c>
    </row>
    <row r="127" spans="1:26" ht="16.8">
      <c r="A127" s="95"/>
      <c r="B127" s="27">
        <v>19</v>
      </c>
      <c r="C127" s="98"/>
      <c r="D127" s="66"/>
      <c r="E127" s="66"/>
      <c r="F127" s="66"/>
      <c r="G127" s="66"/>
      <c r="H127" s="66"/>
      <c r="I127" s="66"/>
      <c r="J127" s="66"/>
      <c r="K127" s="80"/>
      <c r="L127" s="27"/>
      <c r="M127" s="27"/>
      <c r="N127" s="81" t="s">
        <v>91</v>
      </c>
      <c r="O127" s="81" t="s">
        <v>74</v>
      </c>
      <c r="P127" s="81" t="s">
        <v>75</v>
      </c>
      <c r="Q127" s="33">
        <v>1</v>
      </c>
      <c r="R127" s="82" t="s">
        <v>53</v>
      </c>
      <c r="S127" s="83" t="s">
        <v>76</v>
      </c>
      <c r="T127" s="35">
        <v>4000000</v>
      </c>
      <c r="U127" s="84" t="s">
        <v>77</v>
      </c>
      <c r="V127" s="36">
        <v>0</v>
      </c>
      <c r="W127" s="36">
        <v>0</v>
      </c>
      <c r="X127" s="36">
        <v>0</v>
      </c>
      <c r="Y127" s="36">
        <v>0</v>
      </c>
      <c r="Z127" s="37">
        <f t="shared" si="13"/>
        <v>4000000</v>
      </c>
    </row>
    <row r="128" spans="1:26" ht="16.8">
      <c r="A128" s="95"/>
      <c r="B128" s="27">
        <v>20</v>
      </c>
      <c r="C128" s="98"/>
      <c r="D128" s="66"/>
      <c r="E128" s="66"/>
      <c r="F128" s="66"/>
      <c r="G128" s="66"/>
      <c r="H128" s="66"/>
      <c r="I128" s="66"/>
      <c r="J128" s="66"/>
      <c r="K128" s="80"/>
      <c r="L128" s="27"/>
      <c r="M128" s="27"/>
      <c r="N128" s="81" t="s">
        <v>91</v>
      </c>
      <c r="O128" s="81" t="s">
        <v>74</v>
      </c>
      <c r="P128" s="81" t="s">
        <v>75</v>
      </c>
      <c r="Q128" s="33">
        <v>1</v>
      </c>
      <c r="R128" s="82" t="s">
        <v>53</v>
      </c>
      <c r="S128" s="83" t="s">
        <v>76</v>
      </c>
      <c r="T128" s="35">
        <v>4000000</v>
      </c>
      <c r="U128" s="84" t="s">
        <v>77</v>
      </c>
      <c r="V128" s="36">
        <v>0</v>
      </c>
      <c r="W128" s="36">
        <v>0</v>
      </c>
      <c r="X128" s="36">
        <v>0</v>
      </c>
      <c r="Y128" s="36">
        <v>0</v>
      </c>
      <c r="Z128" s="37">
        <f t="shared" si="13"/>
        <v>4000000</v>
      </c>
    </row>
    <row r="129" spans="1:26" ht="16.8">
      <c r="A129" s="95"/>
      <c r="B129" s="27">
        <v>21</v>
      </c>
      <c r="C129" s="98"/>
      <c r="D129" s="66"/>
      <c r="E129" s="66"/>
      <c r="F129" s="66"/>
      <c r="G129" s="66"/>
      <c r="H129" s="66"/>
      <c r="I129" s="66"/>
      <c r="J129" s="66"/>
      <c r="K129" s="80"/>
      <c r="L129" s="27"/>
      <c r="M129" s="27"/>
      <c r="N129" s="81" t="s">
        <v>91</v>
      </c>
      <c r="O129" s="81" t="s">
        <v>74</v>
      </c>
      <c r="P129" s="81" t="s">
        <v>75</v>
      </c>
      <c r="Q129" s="33">
        <v>1</v>
      </c>
      <c r="R129" s="82" t="s">
        <v>53</v>
      </c>
      <c r="S129" s="83" t="s">
        <v>76</v>
      </c>
      <c r="T129" s="35">
        <v>4000000</v>
      </c>
      <c r="U129" s="84" t="s">
        <v>77</v>
      </c>
      <c r="V129" s="36">
        <v>0</v>
      </c>
      <c r="W129" s="36">
        <v>0</v>
      </c>
      <c r="X129" s="36">
        <v>0</v>
      </c>
      <c r="Y129" s="36">
        <v>0</v>
      </c>
      <c r="Z129" s="37">
        <f t="shared" si="13"/>
        <v>4000000</v>
      </c>
    </row>
    <row r="130" spans="1:26" ht="16.8">
      <c r="A130" s="95"/>
      <c r="B130" s="27">
        <v>22</v>
      </c>
      <c r="C130" s="98"/>
      <c r="D130" s="66"/>
      <c r="E130" s="66"/>
      <c r="F130" s="66"/>
      <c r="G130" s="66"/>
      <c r="H130" s="66"/>
      <c r="I130" s="66"/>
      <c r="J130" s="66"/>
      <c r="K130" s="80"/>
      <c r="L130" s="27"/>
      <c r="M130" s="27"/>
      <c r="N130" s="81" t="s">
        <v>91</v>
      </c>
      <c r="O130" s="81" t="s">
        <v>74</v>
      </c>
      <c r="P130" s="81" t="s">
        <v>75</v>
      </c>
      <c r="Q130" s="33">
        <v>1</v>
      </c>
      <c r="R130" s="82" t="s">
        <v>53</v>
      </c>
      <c r="S130" s="83" t="s">
        <v>76</v>
      </c>
      <c r="T130" s="35">
        <v>4000000</v>
      </c>
      <c r="U130" s="84" t="s">
        <v>77</v>
      </c>
      <c r="V130" s="36">
        <v>0</v>
      </c>
      <c r="W130" s="36">
        <v>0</v>
      </c>
      <c r="X130" s="36">
        <v>0</v>
      </c>
      <c r="Y130" s="36">
        <v>0</v>
      </c>
      <c r="Z130" s="37">
        <f t="shared" si="13"/>
        <v>4000000</v>
      </c>
    </row>
    <row r="131" spans="1:26" ht="16.8">
      <c r="A131" s="95"/>
      <c r="B131" s="27">
        <v>23</v>
      </c>
      <c r="C131" s="98"/>
      <c r="D131" s="66"/>
      <c r="E131" s="66"/>
      <c r="F131" s="66"/>
      <c r="G131" s="66"/>
      <c r="H131" s="66"/>
      <c r="I131" s="66"/>
      <c r="J131" s="66"/>
      <c r="K131" s="80"/>
      <c r="L131" s="27"/>
      <c r="M131" s="27"/>
      <c r="N131" s="81" t="s">
        <v>91</v>
      </c>
      <c r="O131" s="81" t="s">
        <v>74</v>
      </c>
      <c r="P131" s="81" t="s">
        <v>75</v>
      </c>
      <c r="Q131" s="33">
        <v>1</v>
      </c>
      <c r="R131" s="82" t="s">
        <v>53</v>
      </c>
      <c r="S131" s="83" t="s">
        <v>76</v>
      </c>
      <c r="T131" s="35">
        <v>4000000</v>
      </c>
      <c r="U131" s="84" t="s">
        <v>77</v>
      </c>
      <c r="V131" s="36">
        <v>0</v>
      </c>
      <c r="W131" s="36">
        <v>0</v>
      </c>
      <c r="X131" s="36">
        <v>0</v>
      </c>
      <c r="Y131" s="36">
        <v>0</v>
      </c>
      <c r="Z131" s="37">
        <f t="shared" si="13"/>
        <v>4000000</v>
      </c>
    </row>
    <row r="132" spans="1:26" ht="16.8">
      <c r="A132" s="95"/>
      <c r="B132" s="27">
        <v>24</v>
      </c>
      <c r="C132" s="98"/>
      <c r="D132" s="66"/>
      <c r="E132" s="66"/>
      <c r="F132" s="66"/>
      <c r="G132" s="66"/>
      <c r="H132" s="66"/>
      <c r="I132" s="66"/>
      <c r="J132" s="66"/>
      <c r="K132" s="80"/>
      <c r="L132" s="27"/>
      <c r="M132" s="27"/>
      <c r="N132" s="81" t="s">
        <v>91</v>
      </c>
      <c r="O132" s="81" t="s">
        <v>74</v>
      </c>
      <c r="P132" s="81" t="s">
        <v>75</v>
      </c>
      <c r="Q132" s="33">
        <v>1</v>
      </c>
      <c r="R132" s="82" t="s">
        <v>53</v>
      </c>
      <c r="S132" s="83" t="s">
        <v>76</v>
      </c>
      <c r="T132" s="35">
        <v>4000000</v>
      </c>
      <c r="U132" s="84" t="s">
        <v>77</v>
      </c>
      <c r="V132" s="36">
        <v>0</v>
      </c>
      <c r="W132" s="36">
        <v>0</v>
      </c>
      <c r="X132" s="36">
        <v>0</v>
      </c>
      <c r="Y132" s="36">
        <v>0</v>
      </c>
      <c r="Z132" s="37">
        <f t="shared" si="13"/>
        <v>4000000</v>
      </c>
    </row>
    <row r="133" spans="1:26" ht="16.8">
      <c r="A133" s="95"/>
      <c r="B133" s="27">
        <v>25</v>
      </c>
      <c r="C133" s="98"/>
      <c r="D133" s="66"/>
      <c r="E133" s="66"/>
      <c r="F133" s="66"/>
      <c r="G133" s="66"/>
      <c r="H133" s="66"/>
      <c r="I133" s="66"/>
      <c r="J133" s="66"/>
      <c r="K133" s="80"/>
      <c r="L133" s="27"/>
      <c r="M133" s="27"/>
      <c r="N133" s="81" t="s">
        <v>91</v>
      </c>
      <c r="O133" s="81" t="s">
        <v>74</v>
      </c>
      <c r="P133" s="81" t="s">
        <v>75</v>
      </c>
      <c r="Q133" s="33">
        <v>1</v>
      </c>
      <c r="R133" s="82" t="s">
        <v>53</v>
      </c>
      <c r="S133" s="83" t="s">
        <v>76</v>
      </c>
      <c r="T133" s="35">
        <v>4000000</v>
      </c>
      <c r="U133" s="84" t="s">
        <v>77</v>
      </c>
      <c r="V133" s="36">
        <v>0</v>
      </c>
      <c r="W133" s="36">
        <v>0</v>
      </c>
      <c r="X133" s="36">
        <v>0</v>
      </c>
      <c r="Y133" s="36">
        <v>0</v>
      </c>
      <c r="Z133" s="37">
        <f t="shared" si="13"/>
        <v>4000000</v>
      </c>
    </row>
    <row r="134" spans="1:26" ht="16.8">
      <c r="A134" s="95"/>
      <c r="B134" s="27">
        <v>26</v>
      </c>
      <c r="C134" s="98"/>
      <c r="D134" s="66"/>
      <c r="E134" s="66"/>
      <c r="F134" s="66"/>
      <c r="G134" s="66"/>
      <c r="H134" s="66"/>
      <c r="I134" s="66"/>
      <c r="J134" s="66"/>
      <c r="K134" s="80"/>
      <c r="L134" s="27"/>
      <c r="M134" s="27"/>
      <c r="N134" s="81" t="s">
        <v>91</v>
      </c>
      <c r="O134" s="81" t="s">
        <v>74</v>
      </c>
      <c r="P134" s="81" t="s">
        <v>75</v>
      </c>
      <c r="Q134" s="33">
        <v>1</v>
      </c>
      <c r="R134" s="82" t="s">
        <v>53</v>
      </c>
      <c r="S134" s="83" t="s">
        <v>76</v>
      </c>
      <c r="T134" s="35">
        <v>4000000</v>
      </c>
      <c r="U134" s="84" t="s">
        <v>77</v>
      </c>
      <c r="V134" s="36">
        <v>0</v>
      </c>
      <c r="W134" s="36">
        <v>0</v>
      </c>
      <c r="X134" s="36">
        <v>0</v>
      </c>
      <c r="Y134" s="36">
        <v>0</v>
      </c>
      <c r="Z134" s="37">
        <f t="shared" si="13"/>
        <v>4000000</v>
      </c>
    </row>
    <row r="135" spans="1:26" ht="16.8">
      <c r="A135" s="95"/>
      <c r="B135" s="27">
        <v>27</v>
      </c>
      <c r="C135" s="98"/>
      <c r="D135" s="66"/>
      <c r="E135" s="66"/>
      <c r="F135" s="66"/>
      <c r="G135" s="66"/>
      <c r="H135" s="66"/>
      <c r="I135" s="66"/>
      <c r="J135" s="66"/>
      <c r="K135" s="80"/>
      <c r="L135" s="27"/>
      <c r="M135" s="27"/>
      <c r="N135" s="81" t="s">
        <v>91</v>
      </c>
      <c r="O135" s="81" t="s">
        <v>74</v>
      </c>
      <c r="P135" s="81" t="s">
        <v>75</v>
      </c>
      <c r="Q135" s="33">
        <v>1</v>
      </c>
      <c r="R135" s="82" t="s">
        <v>53</v>
      </c>
      <c r="S135" s="83" t="s">
        <v>76</v>
      </c>
      <c r="T135" s="35">
        <v>4000000</v>
      </c>
      <c r="U135" s="84" t="s">
        <v>77</v>
      </c>
      <c r="V135" s="36">
        <v>0</v>
      </c>
      <c r="W135" s="36">
        <v>0</v>
      </c>
      <c r="X135" s="36">
        <v>0</v>
      </c>
      <c r="Y135" s="36">
        <v>0</v>
      </c>
      <c r="Z135" s="37">
        <f t="shared" si="13"/>
        <v>4000000</v>
      </c>
    </row>
    <row r="136" spans="1:26" ht="16.8">
      <c r="A136" s="95"/>
      <c r="B136" s="27">
        <v>28</v>
      </c>
      <c r="C136" s="98"/>
      <c r="D136" s="66"/>
      <c r="E136" s="66"/>
      <c r="F136" s="66"/>
      <c r="G136" s="66"/>
      <c r="H136" s="66"/>
      <c r="I136" s="66"/>
      <c r="J136" s="66"/>
      <c r="K136" s="80"/>
      <c r="L136" s="27"/>
      <c r="M136" s="27"/>
      <c r="N136" s="81" t="s">
        <v>91</v>
      </c>
      <c r="O136" s="81" t="s">
        <v>74</v>
      </c>
      <c r="P136" s="81" t="s">
        <v>75</v>
      </c>
      <c r="Q136" s="33">
        <v>1</v>
      </c>
      <c r="R136" s="82" t="s">
        <v>53</v>
      </c>
      <c r="S136" s="83" t="s">
        <v>76</v>
      </c>
      <c r="T136" s="35">
        <v>4000000</v>
      </c>
      <c r="U136" s="84" t="s">
        <v>77</v>
      </c>
      <c r="V136" s="36">
        <v>0</v>
      </c>
      <c r="W136" s="36">
        <v>0</v>
      </c>
      <c r="X136" s="36">
        <v>0</v>
      </c>
      <c r="Y136" s="36">
        <v>0</v>
      </c>
      <c r="Z136" s="37">
        <f t="shared" si="13"/>
        <v>4000000</v>
      </c>
    </row>
    <row r="137" spans="1:26" ht="16.8">
      <c r="A137" s="95"/>
      <c r="B137" s="27">
        <v>29</v>
      </c>
      <c r="C137" s="98"/>
      <c r="D137" s="66"/>
      <c r="E137" s="66"/>
      <c r="F137" s="66"/>
      <c r="G137" s="66"/>
      <c r="H137" s="66"/>
      <c r="I137" s="66"/>
      <c r="J137" s="66"/>
      <c r="K137" s="80"/>
      <c r="L137" s="27"/>
      <c r="M137" s="27"/>
      <c r="N137" s="81" t="s">
        <v>91</v>
      </c>
      <c r="O137" s="81" t="s">
        <v>74</v>
      </c>
      <c r="P137" s="81" t="s">
        <v>75</v>
      </c>
      <c r="Q137" s="33">
        <v>1</v>
      </c>
      <c r="R137" s="82" t="s">
        <v>53</v>
      </c>
      <c r="S137" s="83" t="s">
        <v>76</v>
      </c>
      <c r="T137" s="35">
        <v>4000000</v>
      </c>
      <c r="U137" s="84" t="s">
        <v>77</v>
      </c>
      <c r="V137" s="36">
        <v>0</v>
      </c>
      <c r="W137" s="36">
        <v>0</v>
      </c>
      <c r="X137" s="36">
        <v>0</v>
      </c>
      <c r="Y137" s="36">
        <v>0</v>
      </c>
      <c r="Z137" s="37">
        <f t="shared" si="13"/>
        <v>4000000</v>
      </c>
    </row>
    <row r="138" spans="1:26" ht="16.8">
      <c r="A138" s="95"/>
      <c r="B138" s="27">
        <v>30</v>
      </c>
      <c r="C138" s="98"/>
      <c r="D138" s="66"/>
      <c r="E138" s="66"/>
      <c r="F138" s="66"/>
      <c r="G138" s="66"/>
      <c r="H138" s="66"/>
      <c r="I138" s="66"/>
      <c r="J138" s="66"/>
      <c r="K138" s="80"/>
      <c r="L138" s="27"/>
      <c r="M138" s="27"/>
      <c r="N138" s="81" t="s">
        <v>91</v>
      </c>
      <c r="O138" s="81" t="s">
        <v>74</v>
      </c>
      <c r="P138" s="81" t="s">
        <v>75</v>
      </c>
      <c r="Q138" s="33">
        <v>1</v>
      </c>
      <c r="R138" s="82" t="s">
        <v>53</v>
      </c>
      <c r="S138" s="83" t="s">
        <v>76</v>
      </c>
      <c r="T138" s="35">
        <v>4000000</v>
      </c>
      <c r="U138" s="84" t="s">
        <v>77</v>
      </c>
      <c r="V138" s="36">
        <v>0</v>
      </c>
      <c r="W138" s="36">
        <v>0</v>
      </c>
      <c r="X138" s="36">
        <v>0</v>
      </c>
      <c r="Y138" s="36">
        <v>0</v>
      </c>
      <c r="Z138" s="37">
        <f t="shared" si="13"/>
        <v>4000000</v>
      </c>
    </row>
    <row r="139" spans="1:26" ht="62.4">
      <c r="A139" s="95"/>
      <c r="B139" s="27">
        <v>31</v>
      </c>
      <c r="C139" s="98"/>
      <c r="D139" s="66"/>
      <c r="E139" s="66"/>
      <c r="F139" s="66"/>
      <c r="G139" s="66"/>
      <c r="H139" s="66"/>
      <c r="I139" s="66"/>
      <c r="J139" s="66"/>
      <c r="K139" s="80" t="s">
        <v>54</v>
      </c>
      <c r="L139" s="27"/>
      <c r="M139" s="27"/>
      <c r="N139" s="81" t="s">
        <v>91</v>
      </c>
      <c r="O139" s="81" t="s">
        <v>74</v>
      </c>
      <c r="P139" s="81" t="s">
        <v>75</v>
      </c>
      <c r="Q139" s="33">
        <v>1</v>
      </c>
      <c r="R139" s="82" t="s">
        <v>53</v>
      </c>
      <c r="S139" s="83" t="s">
        <v>76</v>
      </c>
      <c r="T139" s="35">
        <v>4000000</v>
      </c>
      <c r="U139" s="84" t="s">
        <v>77</v>
      </c>
      <c r="V139" s="36">
        <v>0</v>
      </c>
      <c r="W139" s="36">
        <v>0</v>
      </c>
      <c r="X139" s="36">
        <v>0</v>
      </c>
      <c r="Y139" s="36">
        <v>0</v>
      </c>
      <c r="Z139" s="37">
        <f t="shared" si="13"/>
        <v>4000000</v>
      </c>
    </row>
    <row r="140" spans="1:26" ht="62.4">
      <c r="A140" s="95"/>
      <c r="B140" s="27">
        <v>32</v>
      </c>
      <c r="C140" s="98"/>
      <c r="D140" s="66"/>
      <c r="E140" s="66"/>
      <c r="F140" s="66"/>
      <c r="G140" s="66"/>
      <c r="H140" s="66"/>
      <c r="I140" s="66"/>
      <c r="J140" s="66"/>
      <c r="K140" s="80" t="s">
        <v>54</v>
      </c>
      <c r="L140" s="27"/>
      <c r="M140" s="27"/>
      <c r="N140" s="81" t="s">
        <v>91</v>
      </c>
      <c r="O140" s="81" t="s">
        <v>74</v>
      </c>
      <c r="P140" s="81" t="s">
        <v>75</v>
      </c>
      <c r="Q140" s="33">
        <v>1</v>
      </c>
      <c r="R140" s="82" t="s">
        <v>53</v>
      </c>
      <c r="S140" s="83" t="s">
        <v>76</v>
      </c>
      <c r="T140" s="35">
        <v>4000000</v>
      </c>
      <c r="U140" s="84" t="s">
        <v>77</v>
      </c>
      <c r="V140" s="36">
        <v>0</v>
      </c>
      <c r="W140" s="36">
        <v>0</v>
      </c>
      <c r="X140" s="36">
        <v>0</v>
      </c>
      <c r="Y140" s="36">
        <v>0</v>
      </c>
      <c r="Z140" s="37">
        <f t="shared" si="13"/>
        <v>4000000</v>
      </c>
    </row>
    <row r="141" spans="1:26" ht="62.4">
      <c r="A141" s="95"/>
      <c r="B141" s="27">
        <v>33</v>
      </c>
      <c r="C141" s="98"/>
      <c r="D141" s="66"/>
      <c r="E141" s="66"/>
      <c r="F141" s="66"/>
      <c r="G141" s="66"/>
      <c r="H141" s="66"/>
      <c r="I141" s="66"/>
      <c r="J141" s="66"/>
      <c r="K141" s="80" t="s">
        <v>54</v>
      </c>
      <c r="L141" s="27"/>
      <c r="M141" s="27"/>
      <c r="N141" s="81" t="s">
        <v>91</v>
      </c>
      <c r="O141" s="81" t="s">
        <v>74</v>
      </c>
      <c r="P141" s="81" t="s">
        <v>75</v>
      </c>
      <c r="Q141" s="33">
        <v>1</v>
      </c>
      <c r="R141" s="82" t="s">
        <v>53</v>
      </c>
      <c r="S141" s="83" t="s">
        <v>76</v>
      </c>
      <c r="T141" s="35">
        <v>4000000</v>
      </c>
      <c r="U141" s="84" t="s">
        <v>77</v>
      </c>
      <c r="V141" s="36">
        <v>0</v>
      </c>
      <c r="W141" s="36">
        <v>0</v>
      </c>
      <c r="X141" s="36">
        <v>0</v>
      </c>
      <c r="Y141" s="36">
        <v>0</v>
      </c>
      <c r="Z141" s="37">
        <f t="shared" si="13"/>
        <v>4000000</v>
      </c>
    </row>
    <row r="142" spans="1:26" ht="62.4">
      <c r="A142" s="95"/>
      <c r="B142" s="27">
        <v>34</v>
      </c>
      <c r="C142" s="98"/>
      <c r="D142" s="66"/>
      <c r="E142" s="66"/>
      <c r="F142" s="66"/>
      <c r="G142" s="66"/>
      <c r="H142" s="66"/>
      <c r="I142" s="66"/>
      <c r="J142" s="66"/>
      <c r="K142" s="80" t="s">
        <v>54</v>
      </c>
      <c r="L142" s="27"/>
      <c r="M142" s="27"/>
      <c r="N142" s="81" t="s">
        <v>91</v>
      </c>
      <c r="O142" s="81" t="s">
        <v>74</v>
      </c>
      <c r="P142" s="81" t="s">
        <v>75</v>
      </c>
      <c r="Q142" s="33">
        <v>1</v>
      </c>
      <c r="R142" s="82" t="s">
        <v>53</v>
      </c>
      <c r="S142" s="83" t="s">
        <v>76</v>
      </c>
      <c r="T142" s="35">
        <v>4000000</v>
      </c>
      <c r="U142" s="84" t="s">
        <v>77</v>
      </c>
      <c r="V142" s="36">
        <v>0</v>
      </c>
      <c r="W142" s="36">
        <v>0</v>
      </c>
      <c r="X142" s="36">
        <v>0</v>
      </c>
      <c r="Y142" s="36">
        <v>0</v>
      </c>
      <c r="Z142" s="37">
        <f t="shared" si="13"/>
        <v>4000000</v>
      </c>
    </row>
    <row r="143" spans="1:26" ht="62.4">
      <c r="A143" s="95"/>
      <c r="B143" s="27">
        <v>35</v>
      </c>
      <c r="C143" s="98"/>
      <c r="D143" s="66"/>
      <c r="E143" s="66"/>
      <c r="F143" s="66"/>
      <c r="G143" s="66"/>
      <c r="H143" s="66"/>
      <c r="I143" s="66"/>
      <c r="J143" s="66"/>
      <c r="K143" s="80" t="s">
        <v>54</v>
      </c>
      <c r="L143" s="27"/>
      <c r="M143" s="27"/>
      <c r="N143" s="81" t="s">
        <v>91</v>
      </c>
      <c r="O143" s="81" t="s">
        <v>74</v>
      </c>
      <c r="P143" s="81" t="s">
        <v>75</v>
      </c>
      <c r="Q143" s="33">
        <v>1</v>
      </c>
      <c r="R143" s="82" t="s">
        <v>53</v>
      </c>
      <c r="S143" s="83" t="s">
        <v>76</v>
      </c>
      <c r="T143" s="35">
        <v>4000000</v>
      </c>
      <c r="U143" s="84" t="s">
        <v>77</v>
      </c>
      <c r="V143" s="36">
        <v>0</v>
      </c>
      <c r="W143" s="36">
        <v>0</v>
      </c>
      <c r="X143" s="36">
        <v>0</v>
      </c>
      <c r="Y143" s="36">
        <v>0</v>
      </c>
      <c r="Z143" s="37">
        <f t="shared" si="13"/>
        <v>4000000</v>
      </c>
    </row>
    <row r="144" spans="1:26" ht="62.4">
      <c r="A144" s="95"/>
      <c r="B144" s="27">
        <v>36</v>
      </c>
      <c r="C144" s="98"/>
      <c r="D144" s="66"/>
      <c r="E144" s="66"/>
      <c r="F144" s="66"/>
      <c r="G144" s="66"/>
      <c r="H144" s="66"/>
      <c r="I144" s="66"/>
      <c r="J144" s="66"/>
      <c r="K144" s="80" t="s">
        <v>54</v>
      </c>
      <c r="L144" s="27"/>
      <c r="M144" s="27"/>
      <c r="N144" s="81" t="s">
        <v>91</v>
      </c>
      <c r="O144" s="81" t="s">
        <v>74</v>
      </c>
      <c r="P144" s="81" t="s">
        <v>75</v>
      </c>
      <c r="Q144" s="33">
        <v>1</v>
      </c>
      <c r="R144" s="82" t="s">
        <v>53</v>
      </c>
      <c r="S144" s="83" t="s">
        <v>76</v>
      </c>
      <c r="T144" s="35">
        <v>4000000</v>
      </c>
      <c r="U144" s="84" t="s">
        <v>77</v>
      </c>
      <c r="V144" s="36">
        <v>0</v>
      </c>
      <c r="W144" s="36">
        <v>0</v>
      </c>
      <c r="X144" s="36">
        <v>0</v>
      </c>
      <c r="Y144" s="36">
        <v>0</v>
      </c>
      <c r="Z144" s="37">
        <f t="shared" si="13"/>
        <v>4000000</v>
      </c>
    </row>
    <row r="145" spans="1:26" ht="62.4">
      <c r="A145" s="95"/>
      <c r="B145" s="27">
        <v>37</v>
      </c>
      <c r="C145" s="98"/>
      <c r="D145" s="66"/>
      <c r="E145" s="66"/>
      <c r="F145" s="66"/>
      <c r="G145" s="66"/>
      <c r="H145" s="66"/>
      <c r="I145" s="66"/>
      <c r="J145" s="66"/>
      <c r="K145" s="80" t="s">
        <v>54</v>
      </c>
      <c r="L145" s="27"/>
      <c r="M145" s="27"/>
      <c r="N145" s="81" t="s">
        <v>91</v>
      </c>
      <c r="O145" s="81" t="s">
        <v>74</v>
      </c>
      <c r="P145" s="81" t="s">
        <v>75</v>
      </c>
      <c r="Q145" s="33">
        <v>1</v>
      </c>
      <c r="R145" s="82" t="s">
        <v>53</v>
      </c>
      <c r="S145" s="83" t="s">
        <v>76</v>
      </c>
      <c r="T145" s="35">
        <v>4000000</v>
      </c>
      <c r="U145" s="84" t="s">
        <v>77</v>
      </c>
      <c r="V145" s="36">
        <v>0</v>
      </c>
      <c r="W145" s="36">
        <v>0</v>
      </c>
      <c r="X145" s="36">
        <v>0</v>
      </c>
      <c r="Y145" s="36">
        <v>0</v>
      </c>
      <c r="Z145" s="37">
        <f t="shared" si="13"/>
        <v>4000000</v>
      </c>
    </row>
    <row r="146" spans="1:26" ht="62.4">
      <c r="A146" s="95"/>
      <c r="B146" s="27">
        <v>38</v>
      </c>
      <c r="C146" s="98"/>
      <c r="D146" s="66"/>
      <c r="E146" s="66"/>
      <c r="F146" s="66"/>
      <c r="G146" s="66"/>
      <c r="H146" s="66"/>
      <c r="I146" s="66"/>
      <c r="J146" s="66"/>
      <c r="K146" s="80" t="s">
        <v>54</v>
      </c>
      <c r="L146" s="27"/>
      <c r="M146" s="27"/>
      <c r="N146" s="81" t="s">
        <v>91</v>
      </c>
      <c r="O146" s="81" t="s">
        <v>74</v>
      </c>
      <c r="P146" s="81" t="s">
        <v>75</v>
      </c>
      <c r="Q146" s="33">
        <v>1</v>
      </c>
      <c r="R146" s="82" t="s">
        <v>53</v>
      </c>
      <c r="S146" s="83" t="s">
        <v>76</v>
      </c>
      <c r="T146" s="35">
        <v>4000000</v>
      </c>
      <c r="U146" s="84" t="s">
        <v>77</v>
      </c>
      <c r="V146" s="36">
        <v>0</v>
      </c>
      <c r="W146" s="36">
        <v>0</v>
      </c>
      <c r="X146" s="36">
        <v>0</v>
      </c>
      <c r="Y146" s="36">
        <v>0</v>
      </c>
      <c r="Z146" s="37">
        <f t="shared" si="13"/>
        <v>4000000</v>
      </c>
    </row>
    <row r="147" spans="1:26" ht="62.4">
      <c r="A147" s="95"/>
      <c r="B147" s="27">
        <v>39</v>
      </c>
      <c r="C147" s="98"/>
      <c r="D147" s="66"/>
      <c r="E147" s="66"/>
      <c r="F147" s="66"/>
      <c r="G147" s="66"/>
      <c r="H147" s="66"/>
      <c r="I147" s="66"/>
      <c r="J147" s="66"/>
      <c r="K147" s="80" t="s">
        <v>54</v>
      </c>
      <c r="L147" s="27"/>
      <c r="M147" s="27"/>
      <c r="N147" s="81" t="s">
        <v>91</v>
      </c>
      <c r="O147" s="81" t="s">
        <v>74</v>
      </c>
      <c r="P147" s="81" t="s">
        <v>75</v>
      </c>
      <c r="Q147" s="33">
        <v>1</v>
      </c>
      <c r="R147" s="82" t="s">
        <v>53</v>
      </c>
      <c r="S147" s="83" t="s">
        <v>76</v>
      </c>
      <c r="T147" s="35">
        <v>4000000</v>
      </c>
      <c r="U147" s="84" t="s">
        <v>77</v>
      </c>
      <c r="V147" s="36">
        <v>0</v>
      </c>
      <c r="W147" s="36">
        <v>0</v>
      </c>
      <c r="X147" s="36">
        <v>0</v>
      </c>
      <c r="Y147" s="36">
        <v>0</v>
      </c>
      <c r="Z147" s="37">
        <f t="shared" si="13"/>
        <v>4000000</v>
      </c>
    </row>
    <row r="148" spans="1:26" ht="62.4">
      <c r="A148" s="95"/>
      <c r="B148" s="27">
        <v>40</v>
      </c>
      <c r="C148" s="98"/>
      <c r="D148" s="66"/>
      <c r="E148" s="66"/>
      <c r="F148" s="66"/>
      <c r="G148" s="66"/>
      <c r="H148" s="66"/>
      <c r="I148" s="66"/>
      <c r="J148" s="66"/>
      <c r="K148" s="80" t="s">
        <v>54</v>
      </c>
      <c r="L148" s="27"/>
      <c r="M148" s="27"/>
      <c r="N148" s="81" t="s">
        <v>91</v>
      </c>
      <c r="O148" s="81" t="s">
        <v>74</v>
      </c>
      <c r="P148" s="81" t="s">
        <v>75</v>
      </c>
      <c r="Q148" s="33">
        <v>1</v>
      </c>
      <c r="R148" s="82" t="s">
        <v>53</v>
      </c>
      <c r="S148" s="83" t="s">
        <v>76</v>
      </c>
      <c r="T148" s="35">
        <v>4000000</v>
      </c>
      <c r="U148" s="84" t="s">
        <v>77</v>
      </c>
      <c r="V148" s="36">
        <v>0</v>
      </c>
      <c r="W148" s="36">
        <v>0</v>
      </c>
      <c r="X148" s="36">
        <v>0</v>
      </c>
      <c r="Y148" s="36">
        <v>0</v>
      </c>
      <c r="Z148" s="37">
        <f t="shared" si="13"/>
        <v>4000000</v>
      </c>
    </row>
    <row r="149" spans="1:26" ht="62.4">
      <c r="A149" s="95"/>
      <c r="B149" s="27">
        <v>41</v>
      </c>
      <c r="C149" s="98"/>
      <c r="D149" s="66"/>
      <c r="E149" s="66"/>
      <c r="F149" s="66"/>
      <c r="G149" s="66"/>
      <c r="H149" s="66"/>
      <c r="I149" s="66"/>
      <c r="J149" s="98"/>
      <c r="K149" s="80" t="s">
        <v>54</v>
      </c>
      <c r="L149" s="27"/>
      <c r="M149" s="27"/>
      <c r="N149" s="81" t="s">
        <v>91</v>
      </c>
      <c r="O149" s="81" t="s">
        <v>74</v>
      </c>
      <c r="P149" s="81" t="s">
        <v>75</v>
      </c>
      <c r="Q149" s="33">
        <v>1</v>
      </c>
      <c r="R149" s="82" t="s">
        <v>53</v>
      </c>
      <c r="S149" s="83" t="s">
        <v>76</v>
      </c>
      <c r="T149" s="35">
        <v>4000000</v>
      </c>
      <c r="U149" s="84" t="s">
        <v>77</v>
      </c>
      <c r="V149" s="36">
        <v>0</v>
      </c>
      <c r="W149" s="36">
        <v>0</v>
      </c>
      <c r="X149" s="36">
        <v>0</v>
      </c>
      <c r="Y149" s="36">
        <v>0</v>
      </c>
      <c r="Z149" s="37">
        <f t="shared" si="13"/>
        <v>4000000</v>
      </c>
    </row>
    <row r="150" spans="1:26" ht="16.8">
      <c r="A150" s="95"/>
      <c r="B150" s="27">
        <v>42</v>
      </c>
      <c r="C150" s="98"/>
      <c r="D150" s="66"/>
      <c r="E150" s="66"/>
      <c r="F150" s="66"/>
      <c r="G150" s="66"/>
      <c r="H150" s="66"/>
      <c r="I150" s="66"/>
      <c r="J150" s="98"/>
      <c r="K150" s="80"/>
      <c r="L150" s="27"/>
      <c r="M150" s="27"/>
      <c r="N150" s="81" t="s">
        <v>91</v>
      </c>
      <c r="O150" s="81" t="s">
        <v>74</v>
      </c>
      <c r="P150" s="81" t="s">
        <v>75</v>
      </c>
      <c r="Q150" s="33">
        <v>1</v>
      </c>
      <c r="R150" s="82" t="s">
        <v>53</v>
      </c>
      <c r="S150" s="83" t="s">
        <v>76</v>
      </c>
      <c r="T150" s="35">
        <v>4000000</v>
      </c>
      <c r="U150" s="84" t="s">
        <v>77</v>
      </c>
      <c r="V150" s="36">
        <v>0</v>
      </c>
      <c r="W150" s="36">
        <v>0</v>
      </c>
      <c r="X150" s="36">
        <v>0</v>
      </c>
      <c r="Y150" s="36">
        <v>0</v>
      </c>
      <c r="Z150" s="37">
        <f t="shared" si="13"/>
        <v>4000000</v>
      </c>
    </row>
    <row r="151" spans="1:26" ht="16.8">
      <c r="A151" s="95"/>
      <c r="B151" s="27">
        <v>43</v>
      </c>
      <c r="C151" s="98"/>
      <c r="D151" s="66"/>
      <c r="E151" s="66"/>
      <c r="F151" s="66"/>
      <c r="G151" s="66"/>
      <c r="H151" s="66"/>
      <c r="I151" s="66"/>
      <c r="J151" s="98"/>
      <c r="K151" s="80"/>
      <c r="L151" s="27"/>
      <c r="M151" s="27"/>
      <c r="N151" s="81" t="s">
        <v>91</v>
      </c>
      <c r="O151" s="81" t="s">
        <v>74</v>
      </c>
      <c r="P151" s="81" t="s">
        <v>75</v>
      </c>
      <c r="Q151" s="33">
        <v>1</v>
      </c>
      <c r="R151" s="82" t="s">
        <v>53</v>
      </c>
      <c r="S151" s="83" t="s">
        <v>76</v>
      </c>
      <c r="T151" s="35">
        <v>4000000</v>
      </c>
      <c r="U151" s="84" t="s">
        <v>77</v>
      </c>
      <c r="V151" s="36">
        <v>0</v>
      </c>
      <c r="W151" s="36">
        <v>0</v>
      </c>
      <c r="X151" s="36">
        <v>0</v>
      </c>
      <c r="Y151" s="36">
        <v>0</v>
      </c>
      <c r="Z151" s="37">
        <f t="shared" si="13"/>
        <v>4000000</v>
      </c>
    </row>
    <row r="152" spans="1:26" ht="16.8">
      <c r="A152" s="95"/>
      <c r="B152" s="27">
        <v>44</v>
      </c>
      <c r="C152" s="98"/>
      <c r="D152" s="66"/>
      <c r="E152" s="66"/>
      <c r="F152" s="66"/>
      <c r="G152" s="66"/>
      <c r="H152" s="66"/>
      <c r="I152" s="66"/>
      <c r="J152" s="98"/>
      <c r="K152" s="80"/>
      <c r="L152" s="27"/>
      <c r="M152" s="27"/>
      <c r="N152" s="81" t="s">
        <v>91</v>
      </c>
      <c r="O152" s="81" t="s">
        <v>74</v>
      </c>
      <c r="P152" s="81" t="s">
        <v>75</v>
      </c>
      <c r="Q152" s="33">
        <v>1</v>
      </c>
      <c r="R152" s="82" t="s">
        <v>53</v>
      </c>
      <c r="S152" s="83" t="s">
        <v>76</v>
      </c>
      <c r="T152" s="35">
        <v>4000000</v>
      </c>
      <c r="U152" s="84" t="s">
        <v>77</v>
      </c>
      <c r="V152" s="36">
        <v>0</v>
      </c>
      <c r="W152" s="36">
        <v>0</v>
      </c>
      <c r="X152" s="36">
        <v>0</v>
      </c>
      <c r="Y152" s="36">
        <v>0</v>
      </c>
      <c r="Z152" s="37">
        <f t="shared" si="13"/>
        <v>4000000</v>
      </c>
    </row>
    <row r="153" spans="1:26" ht="16.8">
      <c r="A153" s="95"/>
      <c r="B153" s="27">
        <v>45</v>
      </c>
      <c r="C153" s="98"/>
      <c r="D153" s="66"/>
      <c r="E153" s="66"/>
      <c r="F153" s="66"/>
      <c r="G153" s="66"/>
      <c r="H153" s="66"/>
      <c r="I153" s="66"/>
      <c r="J153" s="98"/>
      <c r="K153" s="80"/>
      <c r="L153" s="27"/>
      <c r="M153" s="27"/>
      <c r="N153" s="81" t="s">
        <v>91</v>
      </c>
      <c r="O153" s="81" t="s">
        <v>74</v>
      </c>
      <c r="P153" s="81" t="s">
        <v>75</v>
      </c>
      <c r="Q153" s="33">
        <v>1</v>
      </c>
      <c r="R153" s="82" t="s">
        <v>53</v>
      </c>
      <c r="S153" s="83" t="s">
        <v>76</v>
      </c>
      <c r="T153" s="35">
        <v>4000000</v>
      </c>
      <c r="U153" s="84" t="s">
        <v>77</v>
      </c>
      <c r="V153" s="36">
        <v>0</v>
      </c>
      <c r="W153" s="36">
        <v>0</v>
      </c>
      <c r="X153" s="36">
        <v>0</v>
      </c>
      <c r="Y153" s="36">
        <v>0</v>
      </c>
      <c r="Z153" s="37">
        <f t="shared" si="13"/>
        <v>4000000</v>
      </c>
    </row>
    <row r="154" spans="1:26" ht="16.8">
      <c r="A154" s="95"/>
      <c r="B154" s="27">
        <v>46</v>
      </c>
      <c r="C154" s="98"/>
      <c r="D154" s="66"/>
      <c r="E154" s="66"/>
      <c r="F154" s="66"/>
      <c r="G154" s="66"/>
      <c r="H154" s="66"/>
      <c r="I154" s="66"/>
      <c r="J154" s="98"/>
      <c r="K154" s="80"/>
      <c r="L154" s="27"/>
      <c r="M154" s="27"/>
      <c r="N154" s="81" t="s">
        <v>91</v>
      </c>
      <c r="O154" s="81" t="s">
        <v>74</v>
      </c>
      <c r="P154" s="81" t="s">
        <v>75</v>
      </c>
      <c r="Q154" s="33">
        <v>1</v>
      </c>
      <c r="R154" s="82" t="s">
        <v>53</v>
      </c>
      <c r="S154" s="83" t="s">
        <v>76</v>
      </c>
      <c r="T154" s="35">
        <v>4000000</v>
      </c>
      <c r="U154" s="84" t="s">
        <v>77</v>
      </c>
      <c r="V154" s="36">
        <v>0</v>
      </c>
      <c r="W154" s="36">
        <v>0</v>
      </c>
      <c r="X154" s="36">
        <v>0</v>
      </c>
      <c r="Y154" s="36">
        <v>0</v>
      </c>
      <c r="Z154" s="37">
        <f t="shared" si="13"/>
        <v>4000000</v>
      </c>
    </row>
    <row r="155" spans="1:26" ht="16.8">
      <c r="A155" s="95"/>
      <c r="B155" s="27">
        <v>47</v>
      </c>
      <c r="C155" s="98"/>
      <c r="D155" s="66"/>
      <c r="E155" s="66"/>
      <c r="F155" s="66"/>
      <c r="G155" s="66"/>
      <c r="H155" s="66"/>
      <c r="I155" s="66"/>
      <c r="J155" s="98"/>
      <c r="K155" s="80"/>
      <c r="L155" s="27"/>
      <c r="M155" s="27"/>
      <c r="N155" s="81" t="s">
        <v>91</v>
      </c>
      <c r="O155" s="81" t="s">
        <v>74</v>
      </c>
      <c r="P155" s="81" t="s">
        <v>75</v>
      </c>
      <c r="Q155" s="33">
        <v>1</v>
      </c>
      <c r="R155" s="82" t="s">
        <v>53</v>
      </c>
      <c r="S155" s="83" t="s">
        <v>76</v>
      </c>
      <c r="T155" s="35">
        <v>4000000</v>
      </c>
      <c r="U155" s="84" t="s">
        <v>77</v>
      </c>
      <c r="V155" s="36">
        <v>0</v>
      </c>
      <c r="W155" s="36">
        <v>0</v>
      </c>
      <c r="X155" s="36">
        <v>0</v>
      </c>
      <c r="Y155" s="36">
        <v>0</v>
      </c>
      <c r="Z155" s="37">
        <f t="shared" si="13"/>
        <v>4000000</v>
      </c>
    </row>
    <row r="156" spans="1:26" ht="62.4">
      <c r="A156" s="95"/>
      <c r="B156" s="27">
        <v>48</v>
      </c>
      <c r="C156" s="98"/>
      <c r="D156" s="66"/>
      <c r="E156" s="66"/>
      <c r="F156" s="66"/>
      <c r="G156" s="98"/>
      <c r="H156" s="66"/>
      <c r="I156" s="66"/>
      <c r="J156" s="66"/>
      <c r="K156" s="80" t="s">
        <v>54</v>
      </c>
      <c r="L156" s="27"/>
      <c r="M156" s="27"/>
      <c r="N156" s="81" t="s">
        <v>91</v>
      </c>
      <c r="O156" s="81" t="s">
        <v>74</v>
      </c>
      <c r="P156" s="81" t="s">
        <v>75</v>
      </c>
      <c r="Q156" s="33">
        <v>1</v>
      </c>
      <c r="R156" s="82" t="s">
        <v>53</v>
      </c>
      <c r="S156" s="83" t="s">
        <v>76</v>
      </c>
      <c r="T156" s="35">
        <v>4000000</v>
      </c>
      <c r="U156" s="84" t="s">
        <v>77</v>
      </c>
      <c r="V156" s="36">
        <v>0</v>
      </c>
      <c r="W156" s="36">
        <v>0</v>
      </c>
      <c r="X156" s="36">
        <v>0</v>
      </c>
      <c r="Y156" s="36">
        <v>0</v>
      </c>
      <c r="Z156" s="37">
        <f t="shared" si="13"/>
        <v>4000000</v>
      </c>
    </row>
    <row r="157" spans="1:26" ht="62.4">
      <c r="A157" s="95"/>
      <c r="B157" s="27">
        <v>49</v>
      </c>
      <c r="C157" s="98"/>
      <c r="D157" s="66"/>
      <c r="E157" s="66"/>
      <c r="F157" s="66"/>
      <c r="G157" s="66"/>
      <c r="H157" s="66"/>
      <c r="I157" s="66"/>
      <c r="J157" s="66"/>
      <c r="K157" s="80" t="s">
        <v>54</v>
      </c>
      <c r="L157" s="27"/>
      <c r="M157" s="27"/>
      <c r="N157" s="81" t="s">
        <v>91</v>
      </c>
      <c r="O157" s="81" t="s">
        <v>74</v>
      </c>
      <c r="P157" s="81" t="s">
        <v>75</v>
      </c>
      <c r="Q157" s="33">
        <v>1</v>
      </c>
      <c r="R157" s="82" t="s">
        <v>53</v>
      </c>
      <c r="S157" s="83" t="s">
        <v>76</v>
      </c>
      <c r="T157" s="35">
        <v>4000000</v>
      </c>
      <c r="U157" s="84" t="s">
        <v>77</v>
      </c>
      <c r="V157" s="36">
        <v>0</v>
      </c>
      <c r="W157" s="36">
        <v>0</v>
      </c>
      <c r="X157" s="36">
        <v>0</v>
      </c>
      <c r="Y157" s="36">
        <v>0</v>
      </c>
      <c r="Z157" s="37">
        <f t="shared" si="13"/>
        <v>4000000</v>
      </c>
    </row>
    <row r="158" spans="1:26" ht="62.4">
      <c r="A158" s="95"/>
      <c r="B158" s="27">
        <v>50</v>
      </c>
      <c r="C158" s="98"/>
      <c r="D158" s="66"/>
      <c r="E158" s="66"/>
      <c r="F158" s="66"/>
      <c r="G158" s="98"/>
      <c r="H158" s="66"/>
      <c r="I158" s="66"/>
      <c r="J158" s="66"/>
      <c r="K158" s="80" t="s">
        <v>54</v>
      </c>
      <c r="L158" s="27"/>
      <c r="M158" s="27"/>
      <c r="N158" s="81" t="s">
        <v>91</v>
      </c>
      <c r="O158" s="81" t="s">
        <v>74</v>
      </c>
      <c r="P158" s="81" t="s">
        <v>75</v>
      </c>
      <c r="Q158" s="33">
        <v>1</v>
      </c>
      <c r="R158" s="82" t="s">
        <v>53</v>
      </c>
      <c r="S158" s="83" t="s">
        <v>76</v>
      </c>
      <c r="T158" s="35">
        <v>4000000</v>
      </c>
      <c r="U158" s="84" t="s">
        <v>77</v>
      </c>
      <c r="V158" s="36">
        <v>0</v>
      </c>
      <c r="W158" s="36">
        <v>0</v>
      </c>
      <c r="X158" s="36">
        <v>0</v>
      </c>
      <c r="Y158" s="36">
        <v>0</v>
      </c>
      <c r="Z158" s="37">
        <f t="shared" si="13"/>
        <v>4000000</v>
      </c>
    </row>
    <row r="159" spans="1:26" ht="62.4">
      <c r="A159" s="95"/>
      <c r="B159" s="27">
        <v>51</v>
      </c>
      <c r="C159" s="98"/>
      <c r="D159" s="66"/>
      <c r="E159" s="66"/>
      <c r="F159" s="66"/>
      <c r="G159" s="66"/>
      <c r="H159" s="66"/>
      <c r="I159" s="66"/>
      <c r="J159" s="66"/>
      <c r="K159" s="80" t="s">
        <v>54</v>
      </c>
      <c r="L159" s="27"/>
      <c r="M159" s="27"/>
      <c r="N159" s="81" t="s">
        <v>91</v>
      </c>
      <c r="O159" s="81" t="s">
        <v>74</v>
      </c>
      <c r="P159" s="81" t="s">
        <v>75</v>
      </c>
      <c r="Q159" s="33">
        <v>1</v>
      </c>
      <c r="R159" s="82" t="s">
        <v>53</v>
      </c>
      <c r="S159" s="83" t="s">
        <v>76</v>
      </c>
      <c r="T159" s="35">
        <v>4000000</v>
      </c>
      <c r="U159" s="84" t="s">
        <v>77</v>
      </c>
      <c r="V159" s="36">
        <v>0</v>
      </c>
      <c r="W159" s="36">
        <v>0</v>
      </c>
      <c r="X159" s="36">
        <v>0</v>
      </c>
      <c r="Y159" s="36">
        <v>0</v>
      </c>
      <c r="Z159" s="37">
        <f t="shared" si="13"/>
        <v>4000000</v>
      </c>
    </row>
    <row r="160" spans="1:26" ht="15.6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9" t="s">
        <v>42</v>
      </c>
      <c r="L160" s="39">
        <f>SUM(L109:L159)</f>
        <v>0</v>
      </c>
      <c r="M160" s="38"/>
      <c r="N160" s="38"/>
      <c r="O160" s="38"/>
      <c r="P160" s="38"/>
      <c r="Q160" s="38"/>
      <c r="R160" s="38"/>
      <c r="S160" s="38" t="s">
        <v>43</v>
      </c>
      <c r="T160" s="41">
        <f>AVERAGE(T109:T159)</f>
        <v>4000000</v>
      </c>
      <c r="U160" s="38"/>
      <c r="V160" s="42">
        <f t="shared" ref="V160:Y160" si="14">AVERAGEA(V109:V159)</f>
        <v>0</v>
      </c>
      <c r="W160" s="42">
        <f t="shared" si="14"/>
        <v>0</v>
      </c>
      <c r="X160" s="42">
        <f t="shared" si="14"/>
        <v>0</v>
      </c>
      <c r="Y160" s="42">
        <f t="shared" si="14"/>
        <v>0</v>
      </c>
      <c r="Z160" s="41">
        <f t="shared" si="13"/>
        <v>4000000</v>
      </c>
    </row>
    <row r="161" spans="1:26" ht="15.6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6.2" thickBot="1">
      <c r="A162" s="86" t="s">
        <v>59</v>
      </c>
      <c r="B162" s="87"/>
      <c r="C162" s="88"/>
      <c r="D162" s="89" t="e">
        <f>#REF!</f>
        <v>#REF!</v>
      </c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6.2" thickBot="1">
      <c r="A163" s="7" t="s">
        <v>2</v>
      </c>
      <c r="B163" s="90"/>
      <c r="C163" s="91"/>
      <c r="D163" s="92" t="s">
        <v>3</v>
      </c>
      <c r="E163" s="6"/>
      <c r="F163" s="6"/>
      <c r="G163" s="6"/>
      <c r="H163" s="6"/>
      <c r="I163" s="6"/>
      <c r="J163" s="6"/>
      <c r="K163" s="6"/>
      <c r="L163" s="6"/>
      <c r="M163" s="6"/>
      <c r="N163" s="92" t="s">
        <v>4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93"/>
    </row>
    <row r="164" spans="1:26" ht="118.8">
      <c r="A164" s="61" t="s">
        <v>2</v>
      </c>
      <c r="B164" s="13" t="s">
        <v>5</v>
      </c>
      <c r="C164" s="13" t="s">
        <v>6</v>
      </c>
      <c r="D164" s="14" t="s">
        <v>7</v>
      </c>
      <c r="E164" s="15" t="s">
        <v>8</v>
      </c>
      <c r="F164" s="14" t="s">
        <v>9</v>
      </c>
      <c r="G164" s="15" t="s">
        <v>10</v>
      </c>
      <c r="H164" s="15" t="s">
        <v>11</v>
      </c>
      <c r="I164" s="15" t="s">
        <v>12</v>
      </c>
      <c r="J164" s="14" t="s">
        <v>13</v>
      </c>
      <c r="K164" s="62" t="s">
        <v>14</v>
      </c>
      <c r="L164" s="63" t="s">
        <v>15</v>
      </c>
      <c r="M164" s="63" t="s">
        <v>16</v>
      </c>
      <c r="N164" s="18" t="s">
        <v>17</v>
      </c>
      <c r="O164" s="19" t="s">
        <v>18</v>
      </c>
      <c r="P164" s="19" t="s">
        <v>19</v>
      </c>
      <c r="Q164" s="19" t="s">
        <v>20</v>
      </c>
      <c r="R164" s="19" t="s">
        <v>21</v>
      </c>
      <c r="S164" s="20" t="s">
        <v>22</v>
      </c>
      <c r="T164" s="21" t="s">
        <v>23</v>
      </c>
      <c r="U164" s="20" t="s">
        <v>24</v>
      </c>
      <c r="V164" s="64" t="s">
        <v>25</v>
      </c>
      <c r="W164" s="64" t="s">
        <v>26</v>
      </c>
      <c r="X164" s="64" t="s">
        <v>27</v>
      </c>
      <c r="Y164" s="64" t="s">
        <v>28</v>
      </c>
      <c r="Z164" s="23" t="s">
        <v>29</v>
      </c>
    </row>
    <row r="165" spans="1:26" ht="78">
      <c r="A165" s="76"/>
      <c r="B165" s="27">
        <v>1</v>
      </c>
      <c r="C165" s="100"/>
      <c r="D165" s="101"/>
      <c r="E165" s="102"/>
      <c r="F165" s="100"/>
      <c r="G165" s="103"/>
      <c r="H165" s="27"/>
      <c r="I165" s="27"/>
      <c r="J165" s="27"/>
      <c r="K165" s="31" t="s">
        <v>36</v>
      </c>
      <c r="L165" s="27">
        <v>0</v>
      </c>
      <c r="M165" s="27">
        <v>1</v>
      </c>
      <c r="N165" s="81" t="s">
        <v>92</v>
      </c>
      <c r="O165" s="81" t="s">
        <v>93</v>
      </c>
      <c r="P165" s="81" t="s">
        <v>94</v>
      </c>
      <c r="Q165" s="33">
        <v>1</v>
      </c>
      <c r="R165" s="82" t="s">
        <v>53</v>
      </c>
      <c r="S165" s="83" t="s">
        <v>76</v>
      </c>
      <c r="T165" s="35">
        <v>2500000</v>
      </c>
      <c r="U165" s="84" t="s">
        <v>95</v>
      </c>
      <c r="V165" s="36">
        <v>0</v>
      </c>
      <c r="W165" s="36">
        <v>0</v>
      </c>
      <c r="X165" s="36">
        <v>0</v>
      </c>
      <c r="Y165" s="36">
        <v>0</v>
      </c>
      <c r="Z165" s="37">
        <f t="shared" ref="Z165:Z216" si="15">T165*(1-V165)*(1-W165)*(1-X165)*(1-Y165)</f>
        <v>2500000</v>
      </c>
    </row>
    <row r="166" spans="1:26" ht="16.8">
      <c r="A166" s="95"/>
      <c r="B166" s="27">
        <v>2</v>
      </c>
      <c r="C166" s="104"/>
      <c r="D166" s="101"/>
      <c r="E166" s="105"/>
      <c r="F166" s="104"/>
      <c r="G166" s="106"/>
      <c r="H166" s="27"/>
      <c r="I166" s="27"/>
      <c r="J166" s="27"/>
      <c r="K166" s="31"/>
      <c r="L166" s="27"/>
      <c r="M166" s="27"/>
      <c r="N166" s="81" t="s">
        <v>92</v>
      </c>
      <c r="O166" s="81" t="s">
        <v>93</v>
      </c>
      <c r="P166" s="81" t="s">
        <v>94</v>
      </c>
      <c r="Q166" s="33">
        <v>1</v>
      </c>
      <c r="R166" s="82" t="s">
        <v>53</v>
      </c>
      <c r="S166" s="83" t="s">
        <v>76</v>
      </c>
      <c r="T166" s="35">
        <v>2500000</v>
      </c>
      <c r="U166" s="84" t="s">
        <v>95</v>
      </c>
      <c r="V166" s="36">
        <v>0</v>
      </c>
      <c r="W166" s="36">
        <v>0</v>
      </c>
      <c r="X166" s="36">
        <v>0</v>
      </c>
      <c r="Y166" s="36">
        <v>0</v>
      </c>
      <c r="Z166" s="37">
        <f t="shared" si="15"/>
        <v>2500000</v>
      </c>
    </row>
    <row r="167" spans="1:26" ht="16.8">
      <c r="A167" s="95"/>
      <c r="B167" s="27">
        <v>3</v>
      </c>
      <c r="C167" s="104"/>
      <c r="D167" s="101"/>
      <c r="E167" s="105"/>
      <c r="F167" s="104"/>
      <c r="G167" s="106"/>
      <c r="H167" s="27"/>
      <c r="I167" s="27"/>
      <c r="J167" s="27"/>
      <c r="K167" s="31"/>
      <c r="L167" s="27"/>
      <c r="M167" s="27"/>
      <c r="N167" s="81" t="s">
        <v>92</v>
      </c>
      <c r="O167" s="81" t="s">
        <v>93</v>
      </c>
      <c r="P167" s="81" t="s">
        <v>94</v>
      </c>
      <c r="Q167" s="33">
        <v>1</v>
      </c>
      <c r="R167" s="82" t="s">
        <v>53</v>
      </c>
      <c r="S167" s="83" t="s">
        <v>76</v>
      </c>
      <c r="T167" s="35">
        <v>2500000</v>
      </c>
      <c r="U167" s="84" t="s">
        <v>95</v>
      </c>
      <c r="V167" s="36">
        <v>0</v>
      </c>
      <c r="W167" s="36">
        <v>0</v>
      </c>
      <c r="X167" s="36">
        <v>0</v>
      </c>
      <c r="Y167" s="36">
        <v>0</v>
      </c>
      <c r="Z167" s="37">
        <f t="shared" si="15"/>
        <v>2500000</v>
      </c>
    </row>
    <row r="168" spans="1:26" ht="16.8">
      <c r="A168" s="95"/>
      <c r="B168" s="27">
        <v>4</v>
      </c>
      <c r="C168" s="104"/>
      <c r="D168" s="101"/>
      <c r="E168" s="105"/>
      <c r="F168" s="104"/>
      <c r="G168" s="106"/>
      <c r="H168" s="27"/>
      <c r="I168" s="27"/>
      <c r="J168" s="27"/>
      <c r="K168" s="31"/>
      <c r="L168" s="27"/>
      <c r="M168" s="27"/>
      <c r="N168" s="81" t="s">
        <v>92</v>
      </c>
      <c r="O168" s="81" t="s">
        <v>93</v>
      </c>
      <c r="P168" s="81" t="s">
        <v>94</v>
      </c>
      <c r="Q168" s="33">
        <v>1</v>
      </c>
      <c r="R168" s="82" t="s">
        <v>53</v>
      </c>
      <c r="S168" s="83" t="s">
        <v>76</v>
      </c>
      <c r="T168" s="35">
        <v>2500000</v>
      </c>
      <c r="U168" s="84" t="s">
        <v>95</v>
      </c>
      <c r="V168" s="36">
        <v>0</v>
      </c>
      <c r="W168" s="36">
        <v>0</v>
      </c>
      <c r="X168" s="36">
        <v>0</v>
      </c>
      <c r="Y168" s="36">
        <v>0</v>
      </c>
      <c r="Z168" s="37">
        <f t="shared" si="15"/>
        <v>2500000</v>
      </c>
    </row>
    <row r="169" spans="1:26" ht="16.8">
      <c r="A169" s="95"/>
      <c r="B169" s="27">
        <v>5</v>
      </c>
      <c r="C169" s="104"/>
      <c r="D169" s="101"/>
      <c r="E169" s="105"/>
      <c r="F169" s="104"/>
      <c r="G169" s="106"/>
      <c r="H169" s="27"/>
      <c r="I169" s="27"/>
      <c r="J169" s="27"/>
      <c r="K169" s="31"/>
      <c r="L169" s="27"/>
      <c r="M169" s="27"/>
      <c r="N169" s="81" t="s">
        <v>92</v>
      </c>
      <c r="O169" s="81" t="s">
        <v>93</v>
      </c>
      <c r="P169" s="81" t="s">
        <v>94</v>
      </c>
      <c r="Q169" s="33">
        <v>1</v>
      </c>
      <c r="R169" s="82" t="s">
        <v>53</v>
      </c>
      <c r="S169" s="83" t="s">
        <v>76</v>
      </c>
      <c r="T169" s="35">
        <v>2500000</v>
      </c>
      <c r="U169" s="84" t="s">
        <v>95</v>
      </c>
      <c r="V169" s="36">
        <v>0</v>
      </c>
      <c r="W169" s="36">
        <v>0</v>
      </c>
      <c r="X169" s="36">
        <v>0</v>
      </c>
      <c r="Y169" s="36">
        <v>0</v>
      </c>
      <c r="Z169" s="37">
        <f t="shared" si="15"/>
        <v>2500000</v>
      </c>
    </row>
    <row r="170" spans="1:26" ht="16.8">
      <c r="A170" s="95"/>
      <c r="B170" s="27">
        <v>6</v>
      </c>
      <c r="C170" s="104"/>
      <c r="D170" s="101"/>
      <c r="E170" s="105"/>
      <c r="F170" s="104"/>
      <c r="G170" s="106"/>
      <c r="H170" s="27"/>
      <c r="I170" s="27"/>
      <c r="J170" s="27"/>
      <c r="K170" s="31"/>
      <c r="L170" s="27"/>
      <c r="M170" s="27"/>
      <c r="N170" s="81" t="s">
        <v>92</v>
      </c>
      <c r="O170" s="81" t="s">
        <v>93</v>
      </c>
      <c r="P170" s="81" t="s">
        <v>94</v>
      </c>
      <c r="Q170" s="33">
        <v>1</v>
      </c>
      <c r="R170" s="82" t="s">
        <v>53</v>
      </c>
      <c r="S170" s="83" t="s">
        <v>76</v>
      </c>
      <c r="T170" s="35">
        <v>2500000</v>
      </c>
      <c r="U170" s="84" t="s">
        <v>95</v>
      </c>
      <c r="V170" s="36">
        <v>0</v>
      </c>
      <c r="W170" s="36">
        <v>0</v>
      </c>
      <c r="X170" s="36">
        <v>0</v>
      </c>
      <c r="Y170" s="36">
        <v>0</v>
      </c>
      <c r="Z170" s="37">
        <f t="shared" si="15"/>
        <v>2500000</v>
      </c>
    </row>
    <row r="171" spans="1:26" ht="16.8">
      <c r="A171" s="95"/>
      <c r="B171" s="27">
        <v>7</v>
      </c>
      <c r="C171" s="104"/>
      <c r="D171" s="101"/>
      <c r="E171" s="105"/>
      <c r="F171" s="104"/>
      <c r="G171" s="106"/>
      <c r="H171" s="27"/>
      <c r="I171" s="27"/>
      <c r="J171" s="27"/>
      <c r="K171" s="31"/>
      <c r="L171" s="27"/>
      <c r="M171" s="27"/>
      <c r="N171" s="81" t="s">
        <v>92</v>
      </c>
      <c r="O171" s="81" t="s">
        <v>93</v>
      </c>
      <c r="P171" s="81" t="s">
        <v>94</v>
      </c>
      <c r="Q171" s="33">
        <v>1</v>
      </c>
      <c r="R171" s="82" t="s">
        <v>53</v>
      </c>
      <c r="S171" s="83" t="s">
        <v>76</v>
      </c>
      <c r="T171" s="35">
        <v>2500000</v>
      </c>
      <c r="U171" s="84" t="s">
        <v>95</v>
      </c>
      <c r="V171" s="36">
        <v>0</v>
      </c>
      <c r="W171" s="36">
        <v>0</v>
      </c>
      <c r="X171" s="36">
        <v>0</v>
      </c>
      <c r="Y171" s="36">
        <v>0</v>
      </c>
      <c r="Z171" s="37">
        <f t="shared" si="15"/>
        <v>2500000</v>
      </c>
    </row>
    <row r="172" spans="1:26" ht="16.8">
      <c r="A172" s="95"/>
      <c r="B172" s="27">
        <v>8</v>
      </c>
      <c r="C172" s="104"/>
      <c r="D172" s="101"/>
      <c r="E172" s="105"/>
      <c r="F172" s="104"/>
      <c r="G172" s="106"/>
      <c r="H172" s="27"/>
      <c r="I172" s="27"/>
      <c r="J172" s="27"/>
      <c r="K172" s="31"/>
      <c r="L172" s="27"/>
      <c r="M172" s="27"/>
      <c r="N172" s="81" t="s">
        <v>92</v>
      </c>
      <c r="O172" s="81" t="s">
        <v>93</v>
      </c>
      <c r="P172" s="81" t="s">
        <v>94</v>
      </c>
      <c r="Q172" s="33">
        <v>1</v>
      </c>
      <c r="R172" s="82" t="s">
        <v>53</v>
      </c>
      <c r="S172" s="83" t="s">
        <v>76</v>
      </c>
      <c r="T172" s="35">
        <v>2500000</v>
      </c>
      <c r="U172" s="84" t="s">
        <v>95</v>
      </c>
      <c r="V172" s="36">
        <v>0</v>
      </c>
      <c r="W172" s="36">
        <v>0</v>
      </c>
      <c r="X172" s="36">
        <v>0</v>
      </c>
      <c r="Y172" s="36">
        <v>0</v>
      </c>
      <c r="Z172" s="37">
        <f t="shared" si="15"/>
        <v>2500000</v>
      </c>
    </row>
    <row r="173" spans="1:26" ht="16.8">
      <c r="A173" s="95"/>
      <c r="B173" s="27">
        <v>9</v>
      </c>
      <c r="C173" s="104"/>
      <c r="D173" s="101"/>
      <c r="E173" s="105"/>
      <c r="F173" s="104"/>
      <c r="G173" s="106"/>
      <c r="H173" s="27"/>
      <c r="I173" s="27"/>
      <c r="J173" s="27"/>
      <c r="K173" s="31"/>
      <c r="L173" s="27"/>
      <c r="M173" s="27"/>
      <c r="N173" s="81" t="s">
        <v>92</v>
      </c>
      <c r="O173" s="81" t="s">
        <v>93</v>
      </c>
      <c r="P173" s="81" t="s">
        <v>94</v>
      </c>
      <c r="Q173" s="33">
        <v>1</v>
      </c>
      <c r="R173" s="82" t="s">
        <v>53</v>
      </c>
      <c r="S173" s="83" t="s">
        <v>76</v>
      </c>
      <c r="T173" s="35">
        <v>2500000</v>
      </c>
      <c r="U173" s="84" t="s">
        <v>95</v>
      </c>
      <c r="V173" s="36">
        <v>0</v>
      </c>
      <c r="W173" s="36">
        <v>0</v>
      </c>
      <c r="X173" s="36">
        <v>0</v>
      </c>
      <c r="Y173" s="36">
        <v>0</v>
      </c>
      <c r="Z173" s="37">
        <f t="shared" si="15"/>
        <v>2500000</v>
      </c>
    </row>
    <row r="174" spans="1:26" ht="16.8">
      <c r="A174" s="95"/>
      <c r="B174" s="27">
        <v>10</v>
      </c>
      <c r="C174" s="104"/>
      <c r="D174" s="101"/>
      <c r="E174" s="105"/>
      <c r="F174" s="104"/>
      <c r="G174" s="106"/>
      <c r="H174" s="27"/>
      <c r="I174" s="27"/>
      <c r="J174" s="27"/>
      <c r="K174" s="31"/>
      <c r="L174" s="27"/>
      <c r="M174" s="27"/>
      <c r="N174" s="81" t="s">
        <v>92</v>
      </c>
      <c r="O174" s="81" t="s">
        <v>93</v>
      </c>
      <c r="P174" s="81" t="s">
        <v>94</v>
      </c>
      <c r="Q174" s="33">
        <v>1</v>
      </c>
      <c r="R174" s="82" t="s">
        <v>53</v>
      </c>
      <c r="S174" s="83" t="s">
        <v>76</v>
      </c>
      <c r="T174" s="35">
        <v>2500000</v>
      </c>
      <c r="U174" s="84" t="s">
        <v>95</v>
      </c>
      <c r="V174" s="36">
        <v>0</v>
      </c>
      <c r="W174" s="36">
        <v>0</v>
      </c>
      <c r="X174" s="36">
        <v>0</v>
      </c>
      <c r="Y174" s="36">
        <v>0</v>
      </c>
      <c r="Z174" s="37">
        <f t="shared" si="15"/>
        <v>2500000</v>
      </c>
    </row>
    <row r="175" spans="1:26" ht="16.8">
      <c r="A175" s="95"/>
      <c r="B175" s="27">
        <v>11</v>
      </c>
      <c r="C175" s="104"/>
      <c r="D175" s="101"/>
      <c r="E175" s="105"/>
      <c r="F175" s="104"/>
      <c r="G175" s="106"/>
      <c r="H175" s="27"/>
      <c r="I175" s="27"/>
      <c r="J175" s="27"/>
      <c r="K175" s="31"/>
      <c r="L175" s="27"/>
      <c r="M175" s="27"/>
      <c r="N175" s="81" t="s">
        <v>92</v>
      </c>
      <c r="O175" s="81" t="s">
        <v>93</v>
      </c>
      <c r="P175" s="81" t="s">
        <v>94</v>
      </c>
      <c r="Q175" s="33">
        <v>1</v>
      </c>
      <c r="R175" s="82" t="s">
        <v>53</v>
      </c>
      <c r="S175" s="83" t="s">
        <v>76</v>
      </c>
      <c r="T175" s="35">
        <v>2500000</v>
      </c>
      <c r="U175" s="84" t="s">
        <v>95</v>
      </c>
      <c r="V175" s="36">
        <v>0</v>
      </c>
      <c r="W175" s="36">
        <v>0</v>
      </c>
      <c r="X175" s="36">
        <v>0</v>
      </c>
      <c r="Y175" s="36">
        <v>0</v>
      </c>
      <c r="Z175" s="37">
        <f t="shared" si="15"/>
        <v>2500000</v>
      </c>
    </row>
    <row r="176" spans="1:26" ht="16.8">
      <c r="A176" s="95"/>
      <c r="B176" s="27">
        <v>12</v>
      </c>
      <c r="C176" s="104"/>
      <c r="D176" s="101"/>
      <c r="E176" s="105"/>
      <c r="F176" s="104"/>
      <c r="G176" s="106"/>
      <c r="H176" s="27"/>
      <c r="I176" s="27"/>
      <c r="J176" s="27"/>
      <c r="K176" s="31"/>
      <c r="L176" s="27"/>
      <c r="M176" s="27"/>
      <c r="N176" s="81" t="s">
        <v>92</v>
      </c>
      <c r="O176" s="81" t="s">
        <v>93</v>
      </c>
      <c r="P176" s="81" t="s">
        <v>94</v>
      </c>
      <c r="Q176" s="33">
        <v>1</v>
      </c>
      <c r="R176" s="82" t="s">
        <v>53</v>
      </c>
      <c r="S176" s="83" t="s">
        <v>76</v>
      </c>
      <c r="T176" s="35">
        <v>2500000</v>
      </c>
      <c r="U176" s="84" t="s">
        <v>95</v>
      </c>
      <c r="V176" s="36">
        <v>0</v>
      </c>
      <c r="W176" s="36">
        <v>0</v>
      </c>
      <c r="X176" s="36">
        <v>0</v>
      </c>
      <c r="Y176" s="36">
        <v>0</v>
      </c>
      <c r="Z176" s="37">
        <f t="shared" si="15"/>
        <v>2500000</v>
      </c>
    </row>
    <row r="177" spans="1:26" ht="16.8">
      <c r="A177" s="95"/>
      <c r="B177" s="27">
        <v>13</v>
      </c>
      <c r="C177" s="104"/>
      <c r="D177" s="101"/>
      <c r="E177" s="105"/>
      <c r="F177" s="104"/>
      <c r="G177" s="106"/>
      <c r="H177" s="27"/>
      <c r="I177" s="27"/>
      <c r="J177" s="27"/>
      <c r="K177" s="31"/>
      <c r="L177" s="27"/>
      <c r="M177" s="27"/>
      <c r="N177" s="81" t="s">
        <v>92</v>
      </c>
      <c r="O177" s="81" t="s">
        <v>93</v>
      </c>
      <c r="P177" s="81" t="s">
        <v>94</v>
      </c>
      <c r="Q177" s="33">
        <v>1</v>
      </c>
      <c r="R177" s="82" t="s">
        <v>53</v>
      </c>
      <c r="S177" s="83" t="s">
        <v>76</v>
      </c>
      <c r="T177" s="35">
        <v>2500000</v>
      </c>
      <c r="U177" s="84" t="s">
        <v>95</v>
      </c>
      <c r="V177" s="36">
        <v>0</v>
      </c>
      <c r="W177" s="36">
        <v>0</v>
      </c>
      <c r="X177" s="36">
        <v>0</v>
      </c>
      <c r="Y177" s="36">
        <v>0</v>
      </c>
      <c r="Z177" s="37">
        <f t="shared" si="15"/>
        <v>2500000</v>
      </c>
    </row>
    <row r="178" spans="1:26" ht="16.8">
      <c r="A178" s="95"/>
      <c r="B178" s="27">
        <v>14</v>
      </c>
      <c r="C178" s="104"/>
      <c r="D178" s="101"/>
      <c r="E178" s="105"/>
      <c r="F178" s="104"/>
      <c r="G178" s="106"/>
      <c r="H178" s="27"/>
      <c r="I178" s="27"/>
      <c r="J178" s="27"/>
      <c r="K178" s="31"/>
      <c r="L178" s="27"/>
      <c r="M178" s="27"/>
      <c r="N178" s="81" t="s">
        <v>92</v>
      </c>
      <c r="O178" s="81" t="s">
        <v>93</v>
      </c>
      <c r="P178" s="81" t="s">
        <v>94</v>
      </c>
      <c r="Q178" s="33">
        <v>1</v>
      </c>
      <c r="R178" s="82" t="s">
        <v>53</v>
      </c>
      <c r="S178" s="83" t="s">
        <v>76</v>
      </c>
      <c r="T178" s="35">
        <v>2500000</v>
      </c>
      <c r="U178" s="84" t="s">
        <v>95</v>
      </c>
      <c r="V178" s="36">
        <v>0</v>
      </c>
      <c r="W178" s="36">
        <v>0</v>
      </c>
      <c r="X178" s="36">
        <v>0</v>
      </c>
      <c r="Y178" s="36">
        <v>0</v>
      </c>
      <c r="Z178" s="37">
        <f t="shared" si="15"/>
        <v>2500000</v>
      </c>
    </row>
    <row r="179" spans="1:26" ht="16.8">
      <c r="A179" s="95"/>
      <c r="B179" s="27">
        <v>15</v>
      </c>
      <c r="C179" s="104"/>
      <c r="D179" s="101"/>
      <c r="E179" s="105"/>
      <c r="F179" s="104"/>
      <c r="G179" s="106"/>
      <c r="H179" s="27"/>
      <c r="I179" s="27"/>
      <c r="J179" s="27"/>
      <c r="K179" s="31"/>
      <c r="L179" s="27"/>
      <c r="M179" s="27"/>
      <c r="N179" s="81" t="s">
        <v>92</v>
      </c>
      <c r="O179" s="81" t="s">
        <v>93</v>
      </c>
      <c r="P179" s="81" t="s">
        <v>94</v>
      </c>
      <c r="Q179" s="33">
        <v>1</v>
      </c>
      <c r="R179" s="82" t="s">
        <v>53</v>
      </c>
      <c r="S179" s="83" t="s">
        <v>76</v>
      </c>
      <c r="T179" s="35">
        <v>2500000</v>
      </c>
      <c r="U179" s="84" t="s">
        <v>95</v>
      </c>
      <c r="V179" s="36">
        <v>0</v>
      </c>
      <c r="W179" s="36">
        <v>0</v>
      </c>
      <c r="X179" s="36">
        <v>0</v>
      </c>
      <c r="Y179" s="36">
        <v>0</v>
      </c>
      <c r="Z179" s="37">
        <f t="shared" si="15"/>
        <v>2500000</v>
      </c>
    </row>
    <row r="180" spans="1:26" ht="16.8">
      <c r="A180" s="95"/>
      <c r="B180" s="27">
        <v>16</v>
      </c>
      <c r="C180" s="104"/>
      <c r="D180" s="101"/>
      <c r="E180" s="105"/>
      <c r="F180" s="104"/>
      <c r="G180" s="106"/>
      <c r="H180" s="27"/>
      <c r="I180" s="27"/>
      <c r="J180" s="27"/>
      <c r="K180" s="31"/>
      <c r="L180" s="27"/>
      <c r="M180" s="27"/>
      <c r="N180" s="81" t="s">
        <v>92</v>
      </c>
      <c r="O180" s="81" t="s">
        <v>93</v>
      </c>
      <c r="P180" s="81" t="s">
        <v>94</v>
      </c>
      <c r="Q180" s="33">
        <v>1</v>
      </c>
      <c r="R180" s="82" t="s">
        <v>53</v>
      </c>
      <c r="S180" s="83" t="s">
        <v>76</v>
      </c>
      <c r="T180" s="35">
        <v>2500000</v>
      </c>
      <c r="U180" s="84" t="s">
        <v>95</v>
      </c>
      <c r="V180" s="36">
        <v>0</v>
      </c>
      <c r="W180" s="36">
        <v>0</v>
      </c>
      <c r="X180" s="36">
        <v>0</v>
      </c>
      <c r="Y180" s="36">
        <v>0</v>
      </c>
      <c r="Z180" s="37">
        <f t="shared" si="15"/>
        <v>2500000</v>
      </c>
    </row>
    <row r="181" spans="1:26" ht="16.8">
      <c r="A181" s="95"/>
      <c r="B181" s="27">
        <v>17</v>
      </c>
      <c r="C181" s="104"/>
      <c r="D181" s="101"/>
      <c r="E181" s="105"/>
      <c r="F181" s="104"/>
      <c r="G181" s="106"/>
      <c r="H181" s="27"/>
      <c r="I181" s="27"/>
      <c r="J181" s="27"/>
      <c r="K181" s="31"/>
      <c r="L181" s="27"/>
      <c r="M181" s="27"/>
      <c r="N181" s="81" t="s">
        <v>92</v>
      </c>
      <c r="O181" s="81" t="s">
        <v>93</v>
      </c>
      <c r="P181" s="81" t="s">
        <v>94</v>
      </c>
      <c r="Q181" s="33">
        <v>1</v>
      </c>
      <c r="R181" s="82" t="s">
        <v>53</v>
      </c>
      <c r="S181" s="83" t="s">
        <v>76</v>
      </c>
      <c r="T181" s="35">
        <v>2500000</v>
      </c>
      <c r="U181" s="84" t="s">
        <v>95</v>
      </c>
      <c r="V181" s="36">
        <v>0</v>
      </c>
      <c r="W181" s="36">
        <v>0</v>
      </c>
      <c r="X181" s="36">
        <v>0</v>
      </c>
      <c r="Y181" s="36">
        <v>0</v>
      </c>
      <c r="Z181" s="37">
        <f t="shared" si="15"/>
        <v>2500000</v>
      </c>
    </row>
    <row r="182" spans="1:26" ht="16.8">
      <c r="A182" s="95"/>
      <c r="B182" s="27">
        <v>18</v>
      </c>
      <c r="C182" s="104"/>
      <c r="D182" s="101"/>
      <c r="E182" s="105"/>
      <c r="F182" s="104"/>
      <c r="G182" s="106"/>
      <c r="H182" s="27"/>
      <c r="I182" s="27"/>
      <c r="J182" s="27"/>
      <c r="K182" s="31"/>
      <c r="L182" s="27"/>
      <c r="M182" s="27"/>
      <c r="N182" s="81" t="s">
        <v>92</v>
      </c>
      <c r="O182" s="81" t="s">
        <v>93</v>
      </c>
      <c r="P182" s="81" t="s">
        <v>94</v>
      </c>
      <c r="Q182" s="33">
        <v>1</v>
      </c>
      <c r="R182" s="82" t="s">
        <v>53</v>
      </c>
      <c r="S182" s="83" t="s">
        <v>76</v>
      </c>
      <c r="T182" s="35">
        <v>2500000</v>
      </c>
      <c r="U182" s="84" t="s">
        <v>95</v>
      </c>
      <c r="V182" s="36">
        <v>0</v>
      </c>
      <c r="W182" s="36">
        <v>0</v>
      </c>
      <c r="X182" s="36">
        <v>0</v>
      </c>
      <c r="Y182" s="36">
        <v>0</v>
      </c>
      <c r="Z182" s="37">
        <f t="shared" si="15"/>
        <v>2500000</v>
      </c>
    </row>
    <row r="183" spans="1:26" ht="16.8">
      <c r="A183" s="95"/>
      <c r="B183" s="27">
        <v>19</v>
      </c>
      <c r="C183" s="104"/>
      <c r="D183" s="101"/>
      <c r="E183" s="105"/>
      <c r="F183" s="104"/>
      <c r="G183" s="106"/>
      <c r="H183" s="27"/>
      <c r="I183" s="27"/>
      <c r="J183" s="27"/>
      <c r="K183" s="31"/>
      <c r="L183" s="27"/>
      <c r="M183" s="27"/>
      <c r="N183" s="81" t="s">
        <v>92</v>
      </c>
      <c r="O183" s="81" t="s">
        <v>93</v>
      </c>
      <c r="P183" s="81" t="s">
        <v>94</v>
      </c>
      <c r="Q183" s="33">
        <v>1</v>
      </c>
      <c r="R183" s="82" t="s">
        <v>53</v>
      </c>
      <c r="S183" s="83" t="s">
        <v>76</v>
      </c>
      <c r="T183" s="35">
        <v>2500000</v>
      </c>
      <c r="U183" s="84" t="s">
        <v>95</v>
      </c>
      <c r="V183" s="36">
        <v>0</v>
      </c>
      <c r="W183" s="36">
        <v>0</v>
      </c>
      <c r="X183" s="36">
        <v>0</v>
      </c>
      <c r="Y183" s="36">
        <v>0</v>
      </c>
      <c r="Z183" s="37">
        <f t="shared" si="15"/>
        <v>2500000</v>
      </c>
    </row>
    <row r="184" spans="1:26" ht="16.8">
      <c r="A184" s="95"/>
      <c r="B184" s="27">
        <v>20</v>
      </c>
      <c r="C184" s="104"/>
      <c r="D184" s="101"/>
      <c r="E184" s="105"/>
      <c r="F184" s="104"/>
      <c r="G184" s="106"/>
      <c r="H184" s="27"/>
      <c r="I184" s="27"/>
      <c r="J184" s="27"/>
      <c r="K184" s="31"/>
      <c r="L184" s="27"/>
      <c r="M184" s="27"/>
      <c r="N184" s="81" t="s">
        <v>92</v>
      </c>
      <c r="O184" s="81" t="s">
        <v>93</v>
      </c>
      <c r="P184" s="81" t="s">
        <v>94</v>
      </c>
      <c r="Q184" s="33">
        <v>1</v>
      </c>
      <c r="R184" s="82" t="s">
        <v>53</v>
      </c>
      <c r="S184" s="83" t="s">
        <v>76</v>
      </c>
      <c r="T184" s="35">
        <v>2500000</v>
      </c>
      <c r="U184" s="84" t="s">
        <v>95</v>
      </c>
      <c r="V184" s="36">
        <v>0</v>
      </c>
      <c r="W184" s="36">
        <v>0</v>
      </c>
      <c r="X184" s="36">
        <v>0</v>
      </c>
      <c r="Y184" s="36">
        <v>0</v>
      </c>
      <c r="Z184" s="37">
        <f t="shared" si="15"/>
        <v>2500000</v>
      </c>
    </row>
    <row r="185" spans="1:26" ht="16.8">
      <c r="A185" s="95"/>
      <c r="B185" s="27">
        <v>21</v>
      </c>
      <c r="C185" s="104"/>
      <c r="D185" s="101"/>
      <c r="E185" s="105"/>
      <c r="F185" s="104"/>
      <c r="G185" s="106"/>
      <c r="H185" s="27"/>
      <c r="I185" s="27"/>
      <c r="J185" s="27"/>
      <c r="K185" s="31"/>
      <c r="L185" s="27"/>
      <c r="M185" s="27"/>
      <c r="N185" s="81" t="s">
        <v>92</v>
      </c>
      <c r="O185" s="81" t="s">
        <v>93</v>
      </c>
      <c r="P185" s="81" t="s">
        <v>94</v>
      </c>
      <c r="Q185" s="33">
        <v>1</v>
      </c>
      <c r="R185" s="82" t="s">
        <v>53</v>
      </c>
      <c r="S185" s="83" t="s">
        <v>76</v>
      </c>
      <c r="T185" s="35">
        <v>2500000</v>
      </c>
      <c r="U185" s="84" t="s">
        <v>95</v>
      </c>
      <c r="V185" s="36">
        <v>0</v>
      </c>
      <c r="W185" s="36">
        <v>0</v>
      </c>
      <c r="X185" s="36">
        <v>0</v>
      </c>
      <c r="Y185" s="36">
        <v>0</v>
      </c>
      <c r="Z185" s="37">
        <f t="shared" si="15"/>
        <v>2500000</v>
      </c>
    </row>
    <row r="186" spans="1:26" ht="16.8">
      <c r="A186" s="95"/>
      <c r="B186" s="27">
        <v>22</v>
      </c>
      <c r="C186" s="104"/>
      <c r="D186" s="101"/>
      <c r="E186" s="105"/>
      <c r="F186" s="104"/>
      <c r="G186" s="106"/>
      <c r="H186" s="27"/>
      <c r="I186" s="27"/>
      <c r="J186" s="27"/>
      <c r="K186" s="31"/>
      <c r="L186" s="27"/>
      <c r="M186" s="27"/>
      <c r="N186" s="81" t="s">
        <v>92</v>
      </c>
      <c r="O186" s="81" t="s">
        <v>93</v>
      </c>
      <c r="P186" s="81" t="s">
        <v>94</v>
      </c>
      <c r="Q186" s="33">
        <v>1</v>
      </c>
      <c r="R186" s="82" t="s">
        <v>53</v>
      </c>
      <c r="S186" s="83" t="s">
        <v>76</v>
      </c>
      <c r="T186" s="35">
        <v>2500000</v>
      </c>
      <c r="U186" s="84" t="s">
        <v>95</v>
      </c>
      <c r="V186" s="36">
        <v>0</v>
      </c>
      <c r="W186" s="36">
        <v>0</v>
      </c>
      <c r="X186" s="36">
        <v>0</v>
      </c>
      <c r="Y186" s="36">
        <v>0</v>
      </c>
      <c r="Z186" s="37">
        <f t="shared" si="15"/>
        <v>2500000</v>
      </c>
    </row>
    <row r="187" spans="1:26" ht="16.8">
      <c r="A187" s="95"/>
      <c r="B187" s="27">
        <v>23</v>
      </c>
      <c r="C187" s="104"/>
      <c r="D187" s="101"/>
      <c r="E187" s="105"/>
      <c r="F187" s="104"/>
      <c r="G187" s="106"/>
      <c r="H187" s="27"/>
      <c r="I187" s="27"/>
      <c r="J187" s="27"/>
      <c r="K187" s="31"/>
      <c r="L187" s="27"/>
      <c r="M187" s="27"/>
      <c r="N187" s="81" t="s">
        <v>92</v>
      </c>
      <c r="O187" s="81" t="s">
        <v>93</v>
      </c>
      <c r="P187" s="81" t="s">
        <v>94</v>
      </c>
      <c r="Q187" s="33">
        <v>1</v>
      </c>
      <c r="R187" s="82" t="s">
        <v>53</v>
      </c>
      <c r="S187" s="83" t="s">
        <v>76</v>
      </c>
      <c r="T187" s="35">
        <v>2500000</v>
      </c>
      <c r="U187" s="84" t="s">
        <v>95</v>
      </c>
      <c r="V187" s="36">
        <v>0</v>
      </c>
      <c r="W187" s="36">
        <v>0</v>
      </c>
      <c r="X187" s="36">
        <v>0</v>
      </c>
      <c r="Y187" s="36">
        <v>0</v>
      </c>
      <c r="Z187" s="37">
        <f t="shared" si="15"/>
        <v>2500000</v>
      </c>
    </row>
    <row r="188" spans="1:26" ht="16.8">
      <c r="A188" s="95"/>
      <c r="B188" s="27">
        <v>24</v>
      </c>
      <c r="C188" s="104"/>
      <c r="D188" s="101"/>
      <c r="E188" s="105"/>
      <c r="F188" s="104"/>
      <c r="G188" s="106"/>
      <c r="H188" s="27"/>
      <c r="I188" s="27"/>
      <c r="J188" s="27"/>
      <c r="K188" s="31"/>
      <c r="L188" s="27"/>
      <c r="M188" s="27"/>
      <c r="N188" s="81" t="s">
        <v>92</v>
      </c>
      <c r="O188" s="81" t="s">
        <v>93</v>
      </c>
      <c r="P188" s="81" t="s">
        <v>94</v>
      </c>
      <c r="Q188" s="33">
        <v>1</v>
      </c>
      <c r="R188" s="82" t="s">
        <v>53</v>
      </c>
      <c r="S188" s="83" t="s">
        <v>76</v>
      </c>
      <c r="T188" s="35">
        <v>2500000</v>
      </c>
      <c r="U188" s="84" t="s">
        <v>95</v>
      </c>
      <c r="V188" s="36">
        <v>0</v>
      </c>
      <c r="W188" s="36">
        <v>0</v>
      </c>
      <c r="X188" s="36">
        <v>0</v>
      </c>
      <c r="Y188" s="36">
        <v>0</v>
      </c>
      <c r="Z188" s="37">
        <f t="shared" si="15"/>
        <v>2500000</v>
      </c>
    </row>
    <row r="189" spans="1:26" ht="16.8">
      <c r="A189" s="95"/>
      <c r="B189" s="27">
        <v>25</v>
      </c>
      <c r="C189" s="104"/>
      <c r="D189" s="101"/>
      <c r="E189" s="105"/>
      <c r="F189" s="104"/>
      <c r="G189" s="106"/>
      <c r="H189" s="27"/>
      <c r="I189" s="27"/>
      <c r="J189" s="27"/>
      <c r="K189" s="31"/>
      <c r="L189" s="27"/>
      <c r="M189" s="27"/>
      <c r="N189" s="81" t="s">
        <v>92</v>
      </c>
      <c r="O189" s="81" t="s">
        <v>93</v>
      </c>
      <c r="P189" s="81" t="s">
        <v>94</v>
      </c>
      <c r="Q189" s="33">
        <v>1</v>
      </c>
      <c r="R189" s="82" t="s">
        <v>53</v>
      </c>
      <c r="S189" s="83" t="s">
        <v>76</v>
      </c>
      <c r="T189" s="35">
        <v>2500000</v>
      </c>
      <c r="U189" s="84" t="s">
        <v>95</v>
      </c>
      <c r="V189" s="36">
        <v>0</v>
      </c>
      <c r="W189" s="36">
        <v>0</v>
      </c>
      <c r="X189" s="36">
        <v>0</v>
      </c>
      <c r="Y189" s="36">
        <v>0</v>
      </c>
      <c r="Z189" s="37">
        <f t="shared" si="15"/>
        <v>2500000</v>
      </c>
    </row>
    <row r="190" spans="1:26" ht="16.8">
      <c r="A190" s="95"/>
      <c r="B190" s="27">
        <v>26</v>
      </c>
      <c r="C190" s="104"/>
      <c r="D190" s="101"/>
      <c r="E190" s="105"/>
      <c r="F190" s="104"/>
      <c r="G190" s="106"/>
      <c r="H190" s="27"/>
      <c r="I190" s="27"/>
      <c r="J190" s="27"/>
      <c r="K190" s="31"/>
      <c r="L190" s="27"/>
      <c r="M190" s="27"/>
      <c r="N190" s="81" t="s">
        <v>92</v>
      </c>
      <c r="O190" s="81" t="s">
        <v>93</v>
      </c>
      <c r="P190" s="81" t="s">
        <v>94</v>
      </c>
      <c r="Q190" s="33">
        <v>1</v>
      </c>
      <c r="R190" s="82" t="s">
        <v>53</v>
      </c>
      <c r="S190" s="83" t="s">
        <v>76</v>
      </c>
      <c r="T190" s="35">
        <v>2500000</v>
      </c>
      <c r="U190" s="84" t="s">
        <v>95</v>
      </c>
      <c r="V190" s="36">
        <v>0</v>
      </c>
      <c r="W190" s="36">
        <v>0</v>
      </c>
      <c r="X190" s="36">
        <v>0</v>
      </c>
      <c r="Y190" s="36">
        <v>0</v>
      </c>
      <c r="Z190" s="37">
        <f t="shared" si="15"/>
        <v>2500000</v>
      </c>
    </row>
    <row r="191" spans="1:26" ht="16.8">
      <c r="A191" s="95"/>
      <c r="B191" s="27">
        <v>27</v>
      </c>
      <c r="C191" s="104"/>
      <c r="D191" s="101"/>
      <c r="E191" s="105"/>
      <c r="F191" s="104"/>
      <c r="G191" s="106"/>
      <c r="H191" s="27"/>
      <c r="I191" s="27"/>
      <c r="J191" s="27"/>
      <c r="K191" s="31"/>
      <c r="L191" s="27"/>
      <c r="M191" s="27"/>
      <c r="N191" s="81" t="s">
        <v>92</v>
      </c>
      <c r="O191" s="81" t="s">
        <v>93</v>
      </c>
      <c r="P191" s="81" t="s">
        <v>94</v>
      </c>
      <c r="Q191" s="33">
        <v>1</v>
      </c>
      <c r="R191" s="82" t="s">
        <v>53</v>
      </c>
      <c r="S191" s="83" t="s">
        <v>76</v>
      </c>
      <c r="T191" s="35">
        <v>2500000</v>
      </c>
      <c r="U191" s="84" t="s">
        <v>95</v>
      </c>
      <c r="V191" s="36">
        <v>0</v>
      </c>
      <c r="W191" s="36">
        <v>0</v>
      </c>
      <c r="X191" s="36">
        <v>0</v>
      </c>
      <c r="Y191" s="36">
        <v>0</v>
      </c>
      <c r="Z191" s="37">
        <f t="shared" si="15"/>
        <v>2500000</v>
      </c>
    </row>
    <row r="192" spans="1:26" ht="16.8">
      <c r="A192" s="95"/>
      <c r="B192" s="27">
        <v>28</v>
      </c>
      <c r="C192" s="104"/>
      <c r="D192" s="101"/>
      <c r="E192" s="105"/>
      <c r="F192" s="104"/>
      <c r="G192" s="106"/>
      <c r="H192" s="27"/>
      <c r="I192" s="27"/>
      <c r="J192" s="27"/>
      <c r="K192" s="31"/>
      <c r="L192" s="27"/>
      <c r="M192" s="27"/>
      <c r="N192" s="81" t="s">
        <v>92</v>
      </c>
      <c r="O192" s="81" t="s">
        <v>93</v>
      </c>
      <c r="P192" s="81" t="s">
        <v>94</v>
      </c>
      <c r="Q192" s="33">
        <v>1</v>
      </c>
      <c r="R192" s="82" t="s">
        <v>53</v>
      </c>
      <c r="S192" s="83" t="s">
        <v>76</v>
      </c>
      <c r="T192" s="35">
        <v>2500000</v>
      </c>
      <c r="U192" s="84" t="s">
        <v>95</v>
      </c>
      <c r="V192" s="36">
        <v>0</v>
      </c>
      <c r="W192" s="36">
        <v>0</v>
      </c>
      <c r="X192" s="36">
        <v>0</v>
      </c>
      <c r="Y192" s="36">
        <v>0</v>
      </c>
      <c r="Z192" s="37">
        <f t="shared" si="15"/>
        <v>2500000</v>
      </c>
    </row>
    <row r="193" spans="1:26" ht="16.8">
      <c r="A193" s="95"/>
      <c r="B193" s="27">
        <v>29</v>
      </c>
      <c r="C193" s="104"/>
      <c r="D193" s="101"/>
      <c r="E193" s="105"/>
      <c r="F193" s="104"/>
      <c r="G193" s="106"/>
      <c r="H193" s="27"/>
      <c r="I193" s="27"/>
      <c r="J193" s="27"/>
      <c r="K193" s="31"/>
      <c r="L193" s="27"/>
      <c r="M193" s="27"/>
      <c r="N193" s="81" t="s">
        <v>92</v>
      </c>
      <c r="O193" s="81" t="s">
        <v>93</v>
      </c>
      <c r="P193" s="81" t="s">
        <v>94</v>
      </c>
      <c r="Q193" s="33">
        <v>1</v>
      </c>
      <c r="R193" s="82" t="s">
        <v>53</v>
      </c>
      <c r="S193" s="83" t="s">
        <v>76</v>
      </c>
      <c r="T193" s="35">
        <v>2500000</v>
      </c>
      <c r="U193" s="84" t="s">
        <v>95</v>
      </c>
      <c r="V193" s="36">
        <v>0</v>
      </c>
      <c r="W193" s="36">
        <v>0</v>
      </c>
      <c r="X193" s="36">
        <v>0</v>
      </c>
      <c r="Y193" s="36">
        <v>0</v>
      </c>
      <c r="Z193" s="37">
        <f t="shared" si="15"/>
        <v>2500000</v>
      </c>
    </row>
    <row r="194" spans="1:26" ht="16.8">
      <c r="A194" s="95"/>
      <c r="B194" s="27">
        <v>30</v>
      </c>
      <c r="C194" s="104"/>
      <c r="D194" s="101"/>
      <c r="E194" s="105"/>
      <c r="F194" s="104"/>
      <c r="G194" s="106"/>
      <c r="H194" s="27"/>
      <c r="I194" s="27"/>
      <c r="J194" s="27"/>
      <c r="K194" s="31"/>
      <c r="L194" s="27"/>
      <c r="M194" s="27"/>
      <c r="N194" s="81" t="s">
        <v>92</v>
      </c>
      <c r="O194" s="81" t="s">
        <v>93</v>
      </c>
      <c r="P194" s="81" t="s">
        <v>94</v>
      </c>
      <c r="Q194" s="33">
        <v>1</v>
      </c>
      <c r="R194" s="82" t="s">
        <v>53</v>
      </c>
      <c r="S194" s="83" t="s">
        <v>76</v>
      </c>
      <c r="T194" s="35">
        <v>2500000</v>
      </c>
      <c r="U194" s="84" t="s">
        <v>95</v>
      </c>
      <c r="V194" s="36">
        <v>0</v>
      </c>
      <c r="W194" s="36">
        <v>0</v>
      </c>
      <c r="X194" s="36">
        <v>0</v>
      </c>
      <c r="Y194" s="36">
        <v>0</v>
      </c>
      <c r="Z194" s="37">
        <f t="shared" si="15"/>
        <v>2500000</v>
      </c>
    </row>
    <row r="195" spans="1:26" ht="16.8">
      <c r="A195" s="95"/>
      <c r="B195" s="27">
        <v>31</v>
      </c>
      <c r="C195" s="104"/>
      <c r="D195" s="101"/>
      <c r="E195" s="105"/>
      <c r="F195" s="104"/>
      <c r="G195" s="106"/>
      <c r="H195" s="27"/>
      <c r="I195" s="27"/>
      <c r="J195" s="27"/>
      <c r="K195" s="31"/>
      <c r="L195" s="27"/>
      <c r="M195" s="27"/>
      <c r="N195" s="81" t="s">
        <v>92</v>
      </c>
      <c r="O195" s="81" t="s">
        <v>93</v>
      </c>
      <c r="P195" s="81" t="s">
        <v>94</v>
      </c>
      <c r="Q195" s="33">
        <v>1</v>
      </c>
      <c r="R195" s="82" t="s">
        <v>53</v>
      </c>
      <c r="S195" s="83" t="s">
        <v>76</v>
      </c>
      <c r="T195" s="35">
        <v>2500000</v>
      </c>
      <c r="U195" s="84" t="s">
        <v>95</v>
      </c>
      <c r="V195" s="36">
        <v>0</v>
      </c>
      <c r="W195" s="36">
        <v>0</v>
      </c>
      <c r="X195" s="36">
        <v>0</v>
      </c>
      <c r="Y195" s="36">
        <v>0</v>
      </c>
      <c r="Z195" s="37">
        <f t="shared" si="15"/>
        <v>2500000</v>
      </c>
    </row>
    <row r="196" spans="1:26" ht="16.8">
      <c r="A196" s="95"/>
      <c r="B196" s="27">
        <v>32</v>
      </c>
      <c r="C196" s="104"/>
      <c r="D196" s="101"/>
      <c r="E196" s="105"/>
      <c r="F196" s="104"/>
      <c r="G196" s="106"/>
      <c r="H196" s="27"/>
      <c r="I196" s="27"/>
      <c r="J196" s="27"/>
      <c r="K196" s="31"/>
      <c r="L196" s="27"/>
      <c r="M196" s="27"/>
      <c r="N196" s="81" t="s">
        <v>92</v>
      </c>
      <c r="O196" s="81" t="s">
        <v>93</v>
      </c>
      <c r="P196" s="81" t="s">
        <v>94</v>
      </c>
      <c r="Q196" s="33">
        <v>1</v>
      </c>
      <c r="R196" s="82" t="s">
        <v>53</v>
      </c>
      <c r="S196" s="83" t="s">
        <v>76</v>
      </c>
      <c r="T196" s="35">
        <v>2500000</v>
      </c>
      <c r="U196" s="84" t="s">
        <v>95</v>
      </c>
      <c r="V196" s="36">
        <v>0</v>
      </c>
      <c r="W196" s="36">
        <v>0</v>
      </c>
      <c r="X196" s="36">
        <v>0</v>
      </c>
      <c r="Y196" s="36">
        <v>0</v>
      </c>
      <c r="Z196" s="37">
        <f t="shared" si="15"/>
        <v>2500000</v>
      </c>
    </row>
    <row r="197" spans="1:26" ht="16.8">
      <c r="A197" s="95"/>
      <c r="B197" s="27">
        <v>33</v>
      </c>
      <c r="C197" s="104"/>
      <c r="D197" s="101"/>
      <c r="E197" s="105"/>
      <c r="F197" s="104"/>
      <c r="G197" s="106"/>
      <c r="H197" s="27"/>
      <c r="I197" s="27"/>
      <c r="J197" s="27"/>
      <c r="K197" s="31"/>
      <c r="L197" s="27"/>
      <c r="M197" s="27"/>
      <c r="N197" s="81" t="s">
        <v>92</v>
      </c>
      <c r="O197" s="81" t="s">
        <v>93</v>
      </c>
      <c r="P197" s="81" t="s">
        <v>94</v>
      </c>
      <c r="Q197" s="33">
        <v>1</v>
      </c>
      <c r="R197" s="82" t="s">
        <v>53</v>
      </c>
      <c r="S197" s="83" t="s">
        <v>76</v>
      </c>
      <c r="T197" s="35">
        <v>2500000</v>
      </c>
      <c r="U197" s="84" t="s">
        <v>95</v>
      </c>
      <c r="V197" s="36">
        <v>0</v>
      </c>
      <c r="W197" s="36">
        <v>0</v>
      </c>
      <c r="X197" s="36">
        <v>0</v>
      </c>
      <c r="Y197" s="36">
        <v>0</v>
      </c>
      <c r="Z197" s="37">
        <f t="shared" si="15"/>
        <v>2500000</v>
      </c>
    </row>
    <row r="198" spans="1:26" ht="16.8">
      <c r="A198" s="95"/>
      <c r="B198" s="27">
        <v>34</v>
      </c>
      <c r="C198" s="104"/>
      <c r="D198" s="101"/>
      <c r="E198" s="105"/>
      <c r="F198" s="104"/>
      <c r="G198" s="106"/>
      <c r="H198" s="27"/>
      <c r="I198" s="27"/>
      <c r="J198" s="27"/>
      <c r="K198" s="31"/>
      <c r="L198" s="27"/>
      <c r="M198" s="27"/>
      <c r="N198" s="81" t="s">
        <v>92</v>
      </c>
      <c r="O198" s="81" t="s">
        <v>93</v>
      </c>
      <c r="P198" s="81" t="s">
        <v>94</v>
      </c>
      <c r="Q198" s="33">
        <v>1</v>
      </c>
      <c r="R198" s="82" t="s">
        <v>53</v>
      </c>
      <c r="S198" s="83" t="s">
        <v>76</v>
      </c>
      <c r="T198" s="35">
        <v>2500000</v>
      </c>
      <c r="U198" s="84" t="s">
        <v>95</v>
      </c>
      <c r="V198" s="36">
        <v>0</v>
      </c>
      <c r="W198" s="36">
        <v>0</v>
      </c>
      <c r="X198" s="36">
        <v>0</v>
      </c>
      <c r="Y198" s="36">
        <v>0</v>
      </c>
      <c r="Z198" s="37">
        <f t="shared" si="15"/>
        <v>2500000</v>
      </c>
    </row>
    <row r="199" spans="1:26" ht="16.8">
      <c r="A199" s="95"/>
      <c r="B199" s="27">
        <v>35</v>
      </c>
      <c r="C199" s="104"/>
      <c r="D199" s="101"/>
      <c r="E199" s="105"/>
      <c r="F199" s="104"/>
      <c r="G199" s="106"/>
      <c r="H199" s="27"/>
      <c r="I199" s="27"/>
      <c r="J199" s="27"/>
      <c r="K199" s="31"/>
      <c r="L199" s="27"/>
      <c r="M199" s="27"/>
      <c r="N199" s="81" t="s">
        <v>92</v>
      </c>
      <c r="O199" s="81" t="s">
        <v>93</v>
      </c>
      <c r="P199" s="81" t="s">
        <v>94</v>
      </c>
      <c r="Q199" s="33">
        <v>1</v>
      </c>
      <c r="R199" s="82" t="s">
        <v>53</v>
      </c>
      <c r="S199" s="83" t="s">
        <v>76</v>
      </c>
      <c r="T199" s="35">
        <v>2500000</v>
      </c>
      <c r="U199" s="84" t="s">
        <v>95</v>
      </c>
      <c r="V199" s="36">
        <v>0</v>
      </c>
      <c r="W199" s="36">
        <v>0</v>
      </c>
      <c r="X199" s="36">
        <v>0</v>
      </c>
      <c r="Y199" s="36">
        <v>0</v>
      </c>
      <c r="Z199" s="37">
        <f t="shared" si="15"/>
        <v>2500000</v>
      </c>
    </row>
    <row r="200" spans="1:26" ht="16.8">
      <c r="A200" s="95"/>
      <c r="B200" s="27">
        <v>36</v>
      </c>
      <c r="C200" s="104"/>
      <c r="D200" s="101"/>
      <c r="E200" s="105"/>
      <c r="F200" s="104"/>
      <c r="G200" s="106"/>
      <c r="H200" s="27"/>
      <c r="I200" s="27"/>
      <c r="J200" s="27"/>
      <c r="K200" s="31"/>
      <c r="L200" s="27"/>
      <c r="M200" s="27"/>
      <c r="N200" s="81" t="s">
        <v>92</v>
      </c>
      <c r="O200" s="81" t="s">
        <v>93</v>
      </c>
      <c r="P200" s="81" t="s">
        <v>94</v>
      </c>
      <c r="Q200" s="33">
        <v>1</v>
      </c>
      <c r="R200" s="82" t="s">
        <v>53</v>
      </c>
      <c r="S200" s="83" t="s">
        <v>76</v>
      </c>
      <c r="T200" s="35">
        <v>2500000</v>
      </c>
      <c r="U200" s="84" t="s">
        <v>95</v>
      </c>
      <c r="V200" s="36">
        <v>0</v>
      </c>
      <c r="W200" s="36">
        <v>0</v>
      </c>
      <c r="X200" s="36">
        <v>0</v>
      </c>
      <c r="Y200" s="36">
        <v>0</v>
      </c>
      <c r="Z200" s="37">
        <f t="shared" si="15"/>
        <v>2500000</v>
      </c>
    </row>
    <row r="201" spans="1:26" ht="16.8">
      <c r="A201" s="95"/>
      <c r="B201" s="27">
        <v>37</v>
      </c>
      <c r="C201" s="104"/>
      <c r="D201" s="101"/>
      <c r="E201" s="105"/>
      <c r="F201" s="104"/>
      <c r="G201" s="106"/>
      <c r="H201" s="27"/>
      <c r="I201" s="27"/>
      <c r="J201" s="27"/>
      <c r="K201" s="31"/>
      <c r="L201" s="27"/>
      <c r="M201" s="27"/>
      <c r="N201" s="81" t="s">
        <v>92</v>
      </c>
      <c r="O201" s="81" t="s">
        <v>93</v>
      </c>
      <c r="P201" s="81" t="s">
        <v>94</v>
      </c>
      <c r="Q201" s="33">
        <v>1</v>
      </c>
      <c r="R201" s="82" t="s">
        <v>53</v>
      </c>
      <c r="S201" s="83" t="s">
        <v>76</v>
      </c>
      <c r="T201" s="35">
        <v>2500000</v>
      </c>
      <c r="U201" s="84" t="s">
        <v>95</v>
      </c>
      <c r="V201" s="36">
        <v>0</v>
      </c>
      <c r="W201" s="36">
        <v>0</v>
      </c>
      <c r="X201" s="36">
        <v>0</v>
      </c>
      <c r="Y201" s="36">
        <v>0</v>
      </c>
      <c r="Z201" s="37">
        <f t="shared" si="15"/>
        <v>2500000</v>
      </c>
    </row>
    <row r="202" spans="1:26" ht="16.8">
      <c r="A202" s="95"/>
      <c r="B202" s="27">
        <v>38</v>
      </c>
      <c r="C202" s="104"/>
      <c r="D202" s="101"/>
      <c r="E202" s="105"/>
      <c r="F202" s="104"/>
      <c r="G202" s="106"/>
      <c r="H202" s="27"/>
      <c r="I202" s="27"/>
      <c r="J202" s="27"/>
      <c r="K202" s="31"/>
      <c r="L202" s="27"/>
      <c r="M202" s="27"/>
      <c r="N202" s="81" t="s">
        <v>92</v>
      </c>
      <c r="O202" s="81" t="s">
        <v>93</v>
      </c>
      <c r="P202" s="81" t="s">
        <v>94</v>
      </c>
      <c r="Q202" s="33">
        <v>1</v>
      </c>
      <c r="R202" s="82" t="s">
        <v>53</v>
      </c>
      <c r="S202" s="83" t="s">
        <v>76</v>
      </c>
      <c r="T202" s="35">
        <v>2500000</v>
      </c>
      <c r="U202" s="84" t="s">
        <v>95</v>
      </c>
      <c r="V202" s="36">
        <v>0</v>
      </c>
      <c r="W202" s="36">
        <v>0</v>
      </c>
      <c r="X202" s="36">
        <v>0</v>
      </c>
      <c r="Y202" s="36">
        <v>0</v>
      </c>
      <c r="Z202" s="37">
        <f t="shared" si="15"/>
        <v>2500000</v>
      </c>
    </row>
    <row r="203" spans="1:26" ht="16.8">
      <c r="A203" s="95"/>
      <c r="B203" s="27">
        <v>39</v>
      </c>
      <c r="C203" s="104"/>
      <c r="D203" s="101"/>
      <c r="E203" s="105"/>
      <c r="F203" s="104"/>
      <c r="G203" s="106"/>
      <c r="H203" s="27"/>
      <c r="I203" s="27"/>
      <c r="J203" s="27"/>
      <c r="K203" s="31"/>
      <c r="L203" s="27"/>
      <c r="M203" s="27"/>
      <c r="N203" s="81" t="s">
        <v>92</v>
      </c>
      <c r="O203" s="81" t="s">
        <v>93</v>
      </c>
      <c r="P203" s="81" t="s">
        <v>94</v>
      </c>
      <c r="Q203" s="33">
        <v>1</v>
      </c>
      <c r="R203" s="82" t="s">
        <v>53</v>
      </c>
      <c r="S203" s="83" t="s">
        <v>76</v>
      </c>
      <c r="T203" s="35">
        <v>2500000</v>
      </c>
      <c r="U203" s="84" t="s">
        <v>95</v>
      </c>
      <c r="V203" s="36">
        <v>0</v>
      </c>
      <c r="W203" s="36">
        <v>0</v>
      </c>
      <c r="X203" s="36">
        <v>0</v>
      </c>
      <c r="Y203" s="36">
        <v>0</v>
      </c>
      <c r="Z203" s="37">
        <f t="shared" si="15"/>
        <v>2500000</v>
      </c>
    </row>
    <row r="204" spans="1:26" ht="16.8">
      <c r="A204" s="95"/>
      <c r="B204" s="27">
        <v>40</v>
      </c>
      <c r="C204" s="104"/>
      <c r="D204" s="101"/>
      <c r="E204" s="105"/>
      <c r="F204" s="104"/>
      <c r="G204" s="106"/>
      <c r="H204" s="27"/>
      <c r="I204" s="27"/>
      <c r="J204" s="27"/>
      <c r="K204" s="31"/>
      <c r="L204" s="27"/>
      <c r="M204" s="27"/>
      <c r="N204" s="81" t="s">
        <v>92</v>
      </c>
      <c r="O204" s="81" t="s">
        <v>93</v>
      </c>
      <c r="P204" s="81" t="s">
        <v>94</v>
      </c>
      <c r="Q204" s="33">
        <v>1</v>
      </c>
      <c r="R204" s="82" t="s">
        <v>53</v>
      </c>
      <c r="S204" s="83" t="s">
        <v>76</v>
      </c>
      <c r="T204" s="35">
        <v>2500000</v>
      </c>
      <c r="U204" s="84" t="s">
        <v>95</v>
      </c>
      <c r="V204" s="36">
        <v>0</v>
      </c>
      <c r="W204" s="36">
        <v>0</v>
      </c>
      <c r="X204" s="36">
        <v>0</v>
      </c>
      <c r="Y204" s="36">
        <v>0</v>
      </c>
      <c r="Z204" s="37">
        <f t="shared" si="15"/>
        <v>2500000</v>
      </c>
    </row>
    <row r="205" spans="1:26" ht="16.8">
      <c r="A205" s="95"/>
      <c r="B205" s="27">
        <v>41</v>
      </c>
      <c r="C205" s="104"/>
      <c r="D205" s="101"/>
      <c r="E205" s="105"/>
      <c r="F205" s="104"/>
      <c r="G205" s="106"/>
      <c r="H205" s="27"/>
      <c r="I205" s="27"/>
      <c r="J205" s="27"/>
      <c r="K205" s="31"/>
      <c r="L205" s="27"/>
      <c r="M205" s="27"/>
      <c r="N205" s="81" t="s">
        <v>92</v>
      </c>
      <c r="O205" s="81" t="s">
        <v>93</v>
      </c>
      <c r="P205" s="81" t="s">
        <v>94</v>
      </c>
      <c r="Q205" s="33">
        <v>1</v>
      </c>
      <c r="R205" s="82" t="s">
        <v>53</v>
      </c>
      <c r="S205" s="83" t="s">
        <v>76</v>
      </c>
      <c r="T205" s="35">
        <v>2500000</v>
      </c>
      <c r="U205" s="84" t="s">
        <v>95</v>
      </c>
      <c r="V205" s="36">
        <v>0</v>
      </c>
      <c r="W205" s="36">
        <v>0</v>
      </c>
      <c r="X205" s="36">
        <v>0</v>
      </c>
      <c r="Y205" s="36">
        <v>0</v>
      </c>
      <c r="Z205" s="37">
        <f t="shared" si="15"/>
        <v>2500000</v>
      </c>
    </row>
    <row r="206" spans="1:26" ht="16.8">
      <c r="A206" s="95"/>
      <c r="B206" s="27">
        <v>42</v>
      </c>
      <c r="C206" s="104"/>
      <c r="D206" s="101"/>
      <c r="E206" s="105"/>
      <c r="F206" s="104"/>
      <c r="G206" s="106"/>
      <c r="H206" s="27"/>
      <c r="I206" s="27"/>
      <c r="J206" s="27"/>
      <c r="K206" s="31"/>
      <c r="L206" s="27"/>
      <c r="M206" s="27"/>
      <c r="N206" s="81" t="s">
        <v>92</v>
      </c>
      <c r="O206" s="81" t="s">
        <v>93</v>
      </c>
      <c r="P206" s="81" t="s">
        <v>94</v>
      </c>
      <c r="Q206" s="33">
        <v>1</v>
      </c>
      <c r="R206" s="82" t="s">
        <v>53</v>
      </c>
      <c r="S206" s="83" t="s">
        <v>76</v>
      </c>
      <c r="T206" s="35">
        <v>2500000</v>
      </c>
      <c r="U206" s="84" t="s">
        <v>95</v>
      </c>
      <c r="V206" s="36">
        <v>0</v>
      </c>
      <c r="W206" s="36">
        <v>0</v>
      </c>
      <c r="X206" s="36">
        <v>0</v>
      </c>
      <c r="Y206" s="36">
        <v>0</v>
      </c>
      <c r="Z206" s="37">
        <f t="shared" si="15"/>
        <v>2500000</v>
      </c>
    </row>
    <row r="207" spans="1:26" ht="16.8">
      <c r="A207" s="95"/>
      <c r="B207" s="27">
        <v>43</v>
      </c>
      <c r="C207" s="104"/>
      <c r="D207" s="101"/>
      <c r="E207" s="105"/>
      <c r="F207" s="104"/>
      <c r="G207" s="106"/>
      <c r="H207" s="27"/>
      <c r="I207" s="27"/>
      <c r="J207" s="27"/>
      <c r="K207" s="31"/>
      <c r="L207" s="27"/>
      <c r="M207" s="27"/>
      <c r="N207" s="81" t="s">
        <v>92</v>
      </c>
      <c r="O207" s="81" t="s">
        <v>93</v>
      </c>
      <c r="P207" s="81" t="s">
        <v>94</v>
      </c>
      <c r="Q207" s="33">
        <v>1</v>
      </c>
      <c r="R207" s="82" t="s">
        <v>53</v>
      </c>
      <c r="S207" s="83" t="s">
        <v>76</v>
      </c>
      <c r="T207" s="35">
        <v>2500000</v>
      </c>
      <c r="U207" s="84" t="s">
        <v>95</v>
      </c>
      <c r="V207" s="36">
        <v>0</v>
      </c>
      <c r="W207" s="36">
        <v>0</v>
      </c>
      <c r="X207" s="36">
        <v>0</v>
      </c>
      <c r="Y207" s="36">
        <v>0</v>
      </c>
      <c r="Z207" s="37">
        <f t="shared" si="15"/>
        <v>2500000</v>
      </c>
    </row>
    <row r="208" spans="1:26" ht="16.8">
      <c r="A208" s="95"/>
      <c r="B208" s="27">
        <v>44</v>
      </c>
      <c r="C208" s="104"/>
      <c r="D208" s="101"/>
      <c r="E208" s="105"/>
      <c r="F208" s="104"/>
      <c r="G208" s="106"/>
      <c r="H208" s="27"/>
      <c r="I208" s="27"/>
      <c r="J208" s="27"/>
      <c r="K208" s="31"/>
      <c r="L208" s="27"/>
      <c r="M208" s="27"/>
      <c r="N208" s="81" t="s">
        <v>92</v>
      </c>
      <c r="O208" s="81" t="s">
        <v>93</v>
      </c>
      <c r="P208" s="81" t="s">
        <v>94</v>
      </c>
      <c r="Q208" s="33">
        <v>1</v>
      </c>
      <c r="R208" s="82" t="s">
        <v>53</v>
      </c>
      <c r="S208" s="83" t="s">
        <v>76</v>
      </c>
      <c r="T208" s="35">
        <v>2500000</v>
      </c>
      <c r="U208" s="84" t="s">
        <v>95</v>
      </c>
      <c r="V208" s="36">
        <v>0</v>
      </c>
      <c r="W208" s="36">
        <v>0</v>
      </c>
      <c r="X208" s="36">
        <v>0</v>
      </c>
      <c r="Y208" s="36">
        <v>0</v>
      </c>
      <c r="Z208" s="37">
        <f t="shared" si="15"/>
        <v>2500000</v>
      </c>
    </row>
    <row r="209" spans="1:26" ht="16.8">
      <c r="A209" s="95"/>
      <c r="B209" s="27">
        <v>45</v>
      </c>
      <c r="C209" s="104"/>
      <c r="D209" s="101"/>
      <c r="E209" s="105"/>
      <c r="F209" s="104"/>
      <c r="G209" s="106"/>
      <c r="H209" s="27"/>
      <c r="I209" s="27"/>
      <c r="J209" s="27"/>
      <c r="K209" s="31"/>
      <c r="L209" s="27"/>
      <c r="M209" s="27"/>
      <c r="N209" s="81" t="s">
        <v>92</v>
      </c>
      <c r="O209" s="81" t="s">
        <v>93</v>
      </c>
      <c r="P209" s="81" t="s">
        <v>94</v>
      </c>
      <c r="Q209" s="33">
        <v>1</v>
      </c>
      <c r="R209" s="82" t="s">
        <v>53</v>
      </c>
      <c r="S209" s="83" t="s">
        <v>76</v>
      </c>
      <c r="T209" s="35">
        <v>2500000</v>
      </c>
      <c r="U209" s="84" t="s">
        <v>95</v>
      </c>
      <c r="V209" s="36">
        <v>0</v>
      </c>
      <c r="W209" s="36">
        <v>0</v>
      </c>
      <c r="X209" s="36">
        <v>0</v>
      </c>
      <c r="Y209" s="36">
        <v>0</v>
      </c>
      <c r="Z209" s="37">
        <f t="shared" si="15"/>
        <v>2500000</v>
      </c>
    </row>
    <row r="210" spans="1:26" ht="16.8">
      <c r="A210" s="95"/>
      <c r="B210" s="27">
        <v>46</v>
      </c>
      <c r="C210" s="104"/>
      <c r="D210" s="101"/>
      <c r="E210" s="105"/>
      <c r="F210" s="104"/>
      <c r="G210" s="106"/>
      <c r="H210" s="27"/>
      <c r="I210" s="27"/>
      <c r="J210" s="27"/>
      <c r="K210" s="31"/>
      <c r="L210" s="27"/>
      <c r="M210" s="27"/>
      <c r="N210" s="81" t="s">
        <v>92</v>
      </c>
      <c r="O210" s="81" t="s">
        <v>93</v>
      </c>
      <c r="P210" s="81" t="s">
        <v>94</v>
      </c>
      <c r="Q210" s="33">
        <v>1</v>
      </c>
      <c r="R210" s="82" t="s">
        <v>53</v>
      </c>
      <c r="S210" s="83" t="s">
        <v>76</v>
      </c>
      <c r="T210" s="35">
        <v>2500000</v>
      </c>
      <c r="U210" s="84" t="s">
        <v>95</v>
      </c>
      <c r="V210" s="36">
        <v>0</v>
      </c>
      <c r="W210" s="36">
        <v>0</v>
      </c>
      <c r="X210" s="36">
        <v>0</v>
      </c>
      <c r="Y210" s="36">
        <v>0</v>
      </c>
      <c r="Z210" s="37">
        <f t="shared" si="15"/>
        <v>2500000</v>
      </c>
    </row>
    <row r="211" spans="1:26" ht="16.8">
      <c r="A211" s="95"/>
      <c r="B211" s="27">
        <v>47</v>
      </c>
      <c r="C211" s="104"/>
      <c r="D211" s="101"/>
      <c r="E211" s="105"/>
      <c r="F211" s="104"/>
      <c r="G211" s="106"/>
      <c r="H211" s="27"/>
      <c r="I211" s="27"/>
      <c r="J211" s="27"/>
      <c r="K211" s="31"/>
      <c r="L211" s="27"/>
      <c r="M211" s="27"/>
      <c r="N211" s="81" t="s">
        <v>92</v>
      </c>
      <c r="O211" s="81" t="s">
        <v>93</v>
      </c>
      <c r="P211" s="81" t="s">
        <v>94</v>
      </c>
      <c r="Q211" s="33">
        <v>1</v>
      </c>
      <c r="R211" s="82" t="s">
        <v>53</v>
      </c>
      <c r="S211" s="83" t="s">
        <v>76</v>
      </c>
      <c r="T211" s="35">
        <v>2500000</v>
      </c>
      <c r="U211" s="84" t="s">
        <v>95</v>
      </c>
      <c r="V211" s="36">
        <v>0</v>
      </c>
      <c r="W211" s="36">
        <v>0</v>
      </c>
      <c r="X211" s="36">
        <v>0</v>
      </c>
      <c r="Y211" s="36">
        <v>0</v>
      </c>
      <c r="Z211" s="37">
        <f t="shared" si="15"/>
        <v>2500000</v>
      </c>
    </row>
    <row r="212" spans="1:26" ht="16.8">
      <c r="A212" s="95"/>
      <c r="B212" s="27">
        <v>48</v>
      </c>
      <c r="C212" s="104"/>
      <c r="D212" s="101"/>
      <c r="E212" s="105"/>
      <c r="F212" s="104"/>
      <c r="G212" s="106"/>
      <c r="H212" s="27"/>
      <c r="I212" s="27"/>
      <c r="J212" s="27"/>
      <c r="K212" s="31"/>
      <c r="L212" s="27"/>
      <c r="M212" s="27"/>
      <c r="N212" s="81" t="s">
        <v>92</v>
      </c>
      <c r="O212" s="81" t="s">
        <v>93</v>
      </c>
      <c r="P212" s="81" t="s">
        <v>94</v>
      </c>
      <c r="Q212" s="33">
        <v>1</v>
      </c>
      <c r="R212" s="82" t="s">
        <v>53</v>
      </c>
      <c r="S212" s="83" t="s">
        <v>76</v>
      </c>
      <c r="T212" s="35">
        <v>2500000</v>
      </c>
      <c r="U212" s="84" t="s">
        <v>95</v>
      </c>
      <c r="V212" s="36">
        <v>0</v>
      </c>
      <c r="W212" s="36">
        <v>0</v>
      </c>
      <c r="X212" s="36">
        <v>0</v>
      </c>
      <c r="Y212" s="36">
        <v>0</v>
      </c>
      <c r="Z212" s="37">
        <f t="shared" si="15"/>
        <v>2500000</v>
      </c>
    </row>
    <row r="213" spans="1:26" ht="16.8">
      <c r="A213" s="95"/>
      <c r="B213" s="27">
        <v>49</v>
      </c>
      <c r="C213" s="104"/>
      <c r="D213" s="101"/>
      <c r="E213" s="105"/>
      <c r="F213" s="104"/>
      <c r="G213" s="106"/>
      <c r="H213" s="27"/>
      <c r="I213" s="27"/>
      <c r="J213" s="27"/>
      <c r="K213" s="31"/>
      <c r="L213" s="27"/>
      <c r="M213" s="27"/>
      <c r="N213" s="81" t="s">
        <v>92</v>
      </c>
      <c r="O213" s="81" t="s">
        <v>93</v>
      </c>
      <c r="P213" s="81" t="s">
        <v>94</v>
      </c>
      <c r="Q213" s="33">
        <v>1</v>
      </c>
      <c r="R213" s="82" t="s">
        <v>53</v>
      </c>
      <c r="S213" s="83" t="s">
        <v>76</v>
      </c>
      <c r="T213" s="35">
        <v>2500000</v>
      </c>
      <c r="U213" s="84" t="s">
        <v>95</v>
      </c>
      <c r="V213" s="36">
        <v>0</v>
      </c>
      <c r="W213" s="36">
        <v>0</v>
      </c>
      <c r="X213" s="36">
        <v>0</v>
      </c>
      <c r="Y213" s="36">
        <v>0</v>
      </c>
      <c r="Z213" s="37">
        <f t="shared" si="15"/>
        <v>2500000</v>
      </c>
    </row>
    <row r="214" spans="1:26" ht="16.8">
      <c r="A214" s="95"/>
      <c r="B214" s="27">
        <v>50</v>
      </c>
      <c r="C214" s="104"/>
      <c r="D214" s="101"/>
      <c r="E214" s="105"/>
      <c r="F214" s="104"/>
      <c r="G214" s="106"/>
      <c r="H214" s="27"/>
      <c r="I214" s="27"/>
      <c r="J214" s="27"/>
      <c r="K214" s="31"/>
      <c r="L214" s="27"/>
      <c r="M214" s="27"/>
      <c r="N214" s="81" t="s">
        <v>92</v>
      </c>
      <c r="O214" s="81" t="s">
        <v>93</v>
      </c>
      <c r="P214" s="81" t="s">
        <v>94</v>
      </c>
      <c r="Q214" s="33">
        <v>1</v>
      </c>
      <c r="R214" s="82" t="s">
        <v>53</v>
      </c>
      <c r="S214" s="83" t="s">
        <v>76</v>
      </c>
      <c r="T214" s="35">
        <v>2500000</v>
      </c>
      <c r="U214" s="84" t="s">
        <v>95</v>
      </c>
      <c r="V214" s="36">
        <v>0</v>
      </c>
      <c r="W214" s="36">
        <v>0</v>
      </c>
      <c r="X214" s="36">
        <v>0</v>
      </c>
      <c r="Y214" s="36">
        <v>0</v>
      </c>
      <c r="Z214" s="37">
        <f t="shared" si="15"/>
        <v>2500000</v>
      </c>
    </row>
    <row r="215" spans="1:26" ht="78">
      <c r="A215" s="95"/>
      <c r="B215" s="27">
        <v>51</v>
      </c>
      <c r="C215" s="104"/>
      <c r="D215" s="101"/>
      <c r="E215" s="105"/>
      <c r="F215" s="104"/>
      <c r="G215" s="106"/>
      <c r="H215" s="27"/>
      <c r="I215" s="27"/>
      <c r="J215" s="27"/>
      <c r="K215" s="31" t="s">
        <v>36</v>
      </c>
      <c r="L215" s="27">
        <v>0</v>
      </c>
      <c r="M215" s="27">
        <v>1</v>
      </c>
      <c r="N215" s="81" t="s">
        <v>92</v>
      </c>
      <c r="O215" s="81" t="s">
        <v>93</v>
      </c>
      <c r="P215" s="81" t="s">
        <v>94</v>
      </c>
      <c r="Q215" s="33">
        <v>1</v>
      </c>
      <c r="R215" s="82" t="s">
        <v>53</v>
      </c>
      <c r="S215" s="83" t="s">
        <v>76</v>
      </c>
      <c r="T215" s="35">
        <v>2500000</v>
      </c>
      <c r="U215" s="84" t="s">
        <v>95</v>
      </c>
      <c r="V215" s="36">
        <v>0</v>
      </c>
      <c r="W215" s="36">
        <v>0</v>
      </c>
      <c r="X215" s="36">
        <v>0</v>
      </c>
      <c r="Y215" s="36">
        <v>0</v>
      </c>
      <c r="Z215" s="37">
        <f t="shared" si="15"/>
        <v>2500000</v>
      </c>
    </row>
    <row r="216" spans="1:26" ht="15.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9" t="s">
        <v>42</v>
      </c>
      <c r="L216" s="39">
        <f>SUM(L165:L215)</f>
        <v>0</v>
      </c>
      <c r="M216" s="38"/>
      <c r="N216" s="38"/>
      <c r="O216" s="38"/>
      <c r="P216" s="38"/>
      <c r="Q216" s="38"/>
      <c r="R216" s="38"/>
      <c r="S216" s="38" t="s">
        <v>43</v>
      </c>
      <c r="T216" s="41">
        <f>AVERAGE(T165:T215)</f>
        <v>2500000</v>
      </c>
      <c r="U216" s="38"/>
      <c r="V216" s="42">
        <f t="shared" ref="V216:Y216" si="16">AVERAGEA(V165:V215)</f>
        <v>0</v>
      </c>
      <c r="W216" s="42">
        <f t="shared" si="16"/>
        <v>0</v>
      </c>
      <c r="X216" s="42">
        <f t="shared" si="16"/>
        <v>0</v>
      </c>
      <c r="Y216" s="42">
        <f t="shared" si="16"/>
        <v>0</v>
      </c>
      <c r="Z216" s="41">
        <f t="shared" si="15"/>
        <v>2500000</v>
      </c>
    </row>
    <row r="217" spans="1:26" ht="15.6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5.6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6.2" thickBot="1">
      <c r="A219" s="86" t="s">
        <v>59</v>
      </c>
      <c r="B219" s="87"/>
      <c r="C219" s="88"/>
      <c r="D219" s="89" t="e">
        <f>CONCATENATE(#REF!)</f>
        <v>#REF!</v>
      </c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6.2" thickBot="1">
      <c r="A220" s="7" t="s">
        <v>2</v>
      </c>
      <c r="B220" s="90"/>
      <c r="C220" s="91"/>
      <c r="D220" s="92" t="s">
        <v>3</v>
      </c>
      <c r="E220" s="6"/>
      <c r="F220" s="6"/>
      <c r="G220" s="6"/>
      <c r="H220" s="6"/>
      <c r="I220" s="6"/>
      <c r="J220" s="6"/>
      <c r="K220" s="6"/>
      <c r="L220" s="6"/>
      <c r="M220" s="6"/>
      <c r="N220" s="92" t="s">
        <v>4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93"/>
    </row>
    <row r="221" spans="1:26" ht="118.8">
      <c r="A221" s="61" t="s">
        <v>2</v>
      </c>
      <c r="B221" s="13" t="s">
        <v>5</v>
      </c>
      <c r="C221" s="13" t="s">
        <v>6</v>
      </c>
      <c r="D221" s="14" t="s">
        <v>7</v>
      </c>
      <c r="E221" s="15" t="s">
        <v>8</v>
      </c>
      <c r="F221" s="14" t="s">
        <v>9</v>
      </c>
      <c r="G221" s="15" t="s">
        <v>10</v>
      </c>
      <c r="H221" s="15" t="s">
        <v>11</v>
      </c>
      <c r="I221" s="15" t="s">
        <v>12</v>
      </c>
      <c r="J221" s="14" t="s">
        <v>13</v>
      </c>
      <c r="K221" s="62" t="s">
        <v>14</v>
      </c>
      <c r="L221" s="63" t="s">
        <v>15</v>
      </c>
      <c r="M221" s="63" t="s">
        <v>16</v>
      </c>
      <c r="N221" s="18" t="s">
        <v>17</v>
      </c>
      <c r="O221" s="19" t="s">
        <v>18</v>
      </c>
      <c r="P221" s="19" t="s">
        <v>19</v>
      </c>
      <c r="Q221" s="19" t="s">
        <v>20</v>
      </c>
      <c r="R221" s="19" t="s">
        <v>21</v>
      </c>
      <c r="S221" s="20" t="s">
        <v>22</v>
      </c>
      <c r="T221" s="21" t="s">
        <v>23</v>
      </c>
      <c r="U221" s="20" t="s">
        <v>24</v>
      </c>
      <c r="V221" s="64" t="s">
        <v>25</v>
      </c>
      <c r="W221" s="64" t="s">
        <v>26</v>
      </c>
      <c r="X221" s="64" t="s">
        <v>27</v>
      </c>
      <c r="Y221" s="64" t="s">
        <v>28</v>
      </c>
      <c r="Z221" s="23" t="s">
        <v>29</v>
      </c>
    </row>
    <row r="222" spans="1:26" ht="78">
      <c r="A222" s="76"/>
      <c r="B222" s="27">
        <v>1</v>
      </c>
      <c r="C222" s="107"/>
      <c r="D222" s="101"/>
      <c r="E222" s="27"/>
      <c r="F222" s="27"/>
      <c r="G222" s="101"/>
      <c r="H222" s="27"/>
      <c r="I222" s="27"/>
      <c r="J222" s="27"/>
      <c r="K222" s="31" t="s">
        <v>36</v>
      </c>
      <c r="L222" s="27">
        <v>0</v>
      </c>
      <c r="M222" s="27">
        <v>1</v>
      </c>
      <c r="N222" s="81" t="s">
        <v>96</v>
      </c>
      <c r="O222" s="81" t="s">
        <v>97</v>
      </c>
      <c r="P222" s="81" t="s">
        <v>98</v>
      </c>
      <c r="Q222" s="34">
        <v>1</v>
      </c>
      <c r="R222" s="82" t="s">
        <v>53</v>
      </c>
      <c r="S222" s="34" t="s">
        <v>99</v>
      </c>
      <c r="T222" s="35">
        <v>300000</v>
      </c>
      <c r="U222" s="108" t="s">
        <v>100</v>
      </c>
      <c r="V222" s="36">
        <v>0</v>
      </c>
      <c r="W222" s="36">
        <v>0</v>
      </c>
      <c r="X222" s="36">
        <v>0</v>
      </c>
      <c r="Y222" s="36">
        <v>0</v>
      </c>
      <c r="Z222" s="37">
        <f t="shared" ref="Z222:Z227" si="17">T222*(1-V222)*(1-W222)*(1-X222)*(1-Y222)</f>
        <v>300000</v>
      </c>
    </row>
    <row r="223" spans="1:26" ht="15.6">
      <c r="A223" s="95"/>
      <c r="B223" s="27">
        <v>2</v>
      </c>
      <c r="C223" s="107"/>
      <c r="D223" s="101"/>
      <c r="E223" s="27"/>
      <c r="F223" s="27"/>
      <c r="G223" s="101"/>
      <c r="H223" s="27"/>
      <c r="I223" s="27"/>
      <c r="J223" s="27"/>
      <c r="K223" s="31"/>
      <c r="L223" s="27"/>
      <c r="M223" s="27"/>
      <c r="N223" s="81" t="s">
        <v>96</v>
      </c>
      <c r="O223" s="81" t="s">
        <v>97</v>
      </c>
      <c r="P223" s="81" t="s">
        <v>98</v>
      </c>
      <c r="Q223" s="34">
        <v>1</v>
      </c>
      <c r="R223" s="82" t="s">
        <v>53</v>
      </c>
      <c r="S223" s="34" t="s">
        <v>99</v>
      </c>
      <c r="T223" s="35">
        <v>100000</v>
      </c>
      <c r="U223" s="108" t="s">
        <v>100</v>
      </c>
      <c r="V223" s="36">
        <v>0</v>
      </c>
      <c r="W223" s="36">
        <v>0</v>
      </c>
      <c r="X223" s="36">
        <v>0</v>
      </c>
      <c r="Y223" s="36">
        <v>0</v>
      </c>
      <c r="Z223" s="37">
        <f t="shared" si="17"/>
        <v>100000</v>
      </c>
    </row>
    <row r="224" spans="1:26" ht="15.6">
      <c r="A224" s="95"/>
      <c r="B224" s="27">
        <v>3</v>
      </c>
      <c r="C224" s="107"/>
      <c r="D224" s="101"/>
      <c r="E224" s="27"/>
      <c r="F224" s="27"/>
      <c r="G224" s="101"/>
      <c r="H224" s="27"/>
      <c r="I224" s="27"/>
      <c r="J224" s="27"/>
      <c r="K224" s="31"/>
      <c r="L224" s="27"/>
      <c r="M224" s="27"/>
      <c r="N224" s="81" t="s">
        <v>96</v>
      </c>
      <c r="O224" s="81" t="s">
        <v>97</v>
      </c>
      <c r="P224" s="81" t="s">
        <v>98</v>
      </c>
      <c r="Q224" s="34">
        <v>1</v>
      </c>
      <c r="R224" s="82" t="s">
        <v>53</v>
      </c>
      <c r="S224" s="34" t="s">
        <v>99</v>
      </c>
      <c r="T224" s="35">
        <v>300000</v>
      </c>
      <c r="U224" s="108" t="s">
        <v>100</v>
      </c>
      <c r="V224" s="36">
        <v>0</v>
      </c>
      <c r="W224" s="36">
        <v>0</v>
      </c>
      <c r="X224" s="36">
        <v>0</v>
      </c>
      <c r="Y224" s="36">
        <v>0</v>
      </c>
      <c r="Z224" s="37">
        <f t="shared" si="17"/>
        <v>300000</v>
      </c>
    </row>
    <row r="225" spans="1:26" ht="15.6">
      <c r="A225" s="95"/>
      <c r="B225" s="27">
        <v>4</v>
      </c>
      <c r="C225" s="107"/>
      <c r="D225" s="101"/>
      <c r="E225" s="27"/>
      <c r="F225" s="27"/>
      <c r="G225" s="101"/>
      <c r="H225" s="27"/>
      <c r="I225" s="27"/>
      <c r="J225" s="27"/>
      <c r="K225" s="31"/>
      <c r="L225" s="27"/>
      <c r="M225" s="27"/>
      <c r="N225" s="81" t="s">
        <v>96</v>
      </c>
      <c r="O225" s="81" t="s">
        <v>97</v>
      </c>
      <c r="P225" s="81" t="s">
        <v>98</v>
      </c>
      <c r="Q225" s="34">
        <v>1</v>
      </c>
      <c r="R225" s="82" t="s">
        <v>53</v>
      </c>
      <c r="S225" s="34" t="s">
        <v>99</v>
      </c>
      <c r="T225" s="35">
        <v>150000</v>
      </c>
      <c r="U225" s="108" t="s">
        <v>100</v>
      </c>
      <c r="V225" s="36">
        <v>0</v>
      </c>
      <c r="W225" s="36">
        <v>0</v>
      </c>
      <c r="X225" s="36">
        <v>0</v>
      </c>
      <c r="Y225" s="36">
        <v>0</v>
      </c>
      <c r="Z225" s="37">
        <f t="shared" si="17"/>
        <v>150000</v>
      </c>
    </row>
    <row r="226" spans="1:26" ht="15.6">
      <c r="A226" s="95"/>
      <c r="B226" s="27">
        <v>5</v>
      </c>
      <c r="C226" s="107"/>
      <c r="D226" s="101"/>
      <c r="E226" s="27"/>
      <c r="F226" s="27"/>
      <c r="G226" s="101"/>
      <c r="H226" s="27"/>
      <c r="I226" s="27"/>
      <c r="J226" s="27"/>
      <c r="K226" s="31"/>
      <c r="L226" s="27"/>
      <c r="M226" s="27"/>
      <c r="N226" s="81" t="s">
        <v>96</v>
      </c>
      <c r="O226" s="81" t="s">
        <v>97</v>
      </c>
      <c r="P226" s="81" t="s">
        <v>98</v>
      </c>
      <c r="Q226" s="34">
        <v>1</v>
      </c>
      <c r="R226" s="82" t="s">
        <v>53</v>
      </c>
      <c r="S226" s="34" t="s">
        <v>99</v>
      </c>
      <c r="T226" s="35">
        <v>250000</v>
      </c>
      <c r="U226" s="108" t="s">
        <v>100</v>
      </c>
      <c r="V226" s="36">
        <v>0</v>
      </c>
      <c r="W226" s="36">
        <v>0</v>
      </c>
      <c r="X226" s="36">
        <v>0</v>
      </c>
      <c r="Y226" s="36">
        <v>0</v>
      </c>
      <c r="Z226" s="37">
        <f t="shared" si="17"/>
        <v>250000</v>
      </c>
    </row>
    <row r="227" spans="1:26" ht="15.6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9" t="s">
        <v>42</v>
      </c>
      <c r="L227" s="39">
        <f>SUM(L222)</f>
        <v>0</v>
      </c>
      <c r="M227" s="38"/>
      <c r="N227" s="38"/>
      <c r="O227" s="38"/>
      <c r="P227" s="38"/>
      <c r="Q227" s="38"/>
      <c r="R227" s="38"/>
      <c r="S227" s="38" t="s">
        <v>43</v>
      </c>
      <c r="T227" s="41">
        <f>AVERAGE(T222:T226)</f>
        <v>220000</v>
      </c>
      <c r="U227" s="38"/>
      <c r="V227" s="42">
        <f t="shared" ref="V227:Y227" si="18">AVERAGEA(V222)</f>
        <v>0</v>
      </c>
      <c r="W227" s="42">
        <f t="shared" si="18"/>
        <v>0</v>
      </c>
      <c r="X227" s="42">
        <f t="shared" si="18"/>
        <v>0</v>
      </c>
      <c r="Y227" s="42">
        <f t="shared" si="18"/>
        <v>0</v>
      </c>
      <c r="Z227" s="41">
        <f t="shared" si="17"/>
        <v>220000</v>
      </c>
    </row>
    <row r="228" spans="1:26" ht="15.6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6.2" thickBot="1">
      <c r="A229" s="86" t="s">
        <v>59</v>
      </c>
      <c r="B229" s="87"/>
      <c r="C229" s="88"/>
      <c r="D229" s="89" t="e">
        <f>CONCATENATE(#REF!)</f>
        <v>#REF!</v>
      </c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6.2" thickBot="1">
      <c r="A230" s="7" t="s">
        <v>2</v>
      </c>
      <c r="B230" s="90"/>
      <c r="C230" s="91"/>
      <c r="D230" s="92" t="s">
        <v>3</v>
      </c>
      <c r="E230" s="6"/>
      <c r="F230" s="6"/>
      <c r="G230" s="6"/>
      <c r="H230" s="6"/>
      <c r="I230" s="6"/>
      <c r="J230" s="6"/>
      <c r="K230" s="6"/>
      <c r="L230" s="6"/>
      <c r="M230" s="6"/>
      <c r="N230" s="92" t="s">
        <v>4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93"/>
    </row>
    <row r="231" spans="1:26" ht="118.8">
      <c r="A231" s="61" t="s">
        <v>2</v>
      </c>
      <c r="B231" s="13" t="s">
        <v>5</v>
      </c>
      <c r="C231" s="13" t="s">
        <v>6</v>
      </c>
      <c r="D231" s="14" t="s">
        <v>7</v>
      </c>
      <c r="E231" s="15" t="s">
        <v>8</v>
      </c>
      <c r="F231" s="14" t="s">
        <v>9</v>
      </c>
      <c r="G231" s="15" t="s">
        <v>10</v>
      </c>
      <c r="H231" s="15" t="s">
        <v>11</v>
      </c>
      <c r="I231" s="15" t="s">
        <v>12</v>
      </c>
      <c r="J231" s="14" t="s">
        <v>13</v>
      </c>
      <c r="K231" s="62" t="s">
        <v>14</v>
      </c>
      <c r="L231" s="63" t="s">
        <v>15</v>
      </c>
      <c r="M231" s="63" t="s">
        <v>16</v>
      </c>
      <c r="N231" s="18" t="s">
        <v>17</v>
      </c>
      <c r="O231" s="19" t="s">
        <v>18</v>
      </c>
      <c r="P231" s="19" t="s">
        <v>19</v>
      </c>
      <c r="Q231" s="19" t="s">
        <v>20</v>
      </c>
      <c r="R231" s="19" t="s">
        <v>21</v>
      </c>
      <c r="S231" s="20" t="s">
        <v>22</v>
      </c>
      <c r="T231" s="21" t="s">
        <v>23</v>
      </c>
      <c r="U231" s="20" t="s">
        <v>24</v>
      </c>
      <c r="V231" s="64" t="s">
        <v>25</v>
      </c>
      <c r="W231" s="64" t="s">
        <v>26</v>
      </c>
      <c r="X231" s="64" t="s">
        <v>27</v>
      </c>
      <c r="Y231" s="64" t="s">
        <v>28</v>
      </c>
      <c r="Z231" s="23" t="s">
        <v>29</v>
      </c>
    </row>
    <row r="232" spans="1:26" ht="109.2">
      <c r="A232" s="76"/>
      <c r="B232" s="27">
        <v>1</v>
      </c>
      <c r="C232" s="107"/>
      <c r="D232" s="101"/>
      <c r="E232" s="27"/>
      <c r="F232" s="27"/>
      <c r="G232" s="101"/>
      <c r="H232" s="27"/>
      <c r="I232" s="27"/>
      <c r="J232" s="27"/>
      <c r="K232" s="31" t="s">
        <v>36</v>
      </c>
      <c r="L232" s="27">
        <v>0</v>
      </c>
      <c r="M232" s="27">
        <v>1</v>
      </c>
      <c r="N232" s="27" t="s">
        <v>78</v>
      </c>
      <c r="O232" s="27" t="s">
        <v>79</v>
      </c>
      <c r="P232" s="27" t="s">
        <v>80</v>
      </c>
      <c r="Q232" s="33">
        <v>1</v>
      </c>
      <c r="R232" s="94" t="s">
        <v>81</v>
      </c>
      <c r="S232" s="34" t="s">
        <v>82</v>
      </c>
      <c r="T232" s="35">
        <v>225000</v>
      </c>
      <c r="U232" s="94" t="s">
        <v>83</v>
      </c>
      <c r="V232" s="36">
        <v>0</v>
      </c>
      <c r="W232" s="36">
        <v>0</v>
      </c>
      <c r="X232" s="36">
        <v>0</v>
      </c>
      <c r="Y232" s="36">
        <v>0</v>
      </c>
      <c r="Z232" s="27">
        <f t="shared" ref="Z232:Z283" si="19">T232*(1-V232)*(1-W232)*(1-X232)*(1-Y232)</f>
        <v>225000</v>
      </c>
    </row>
    <row r="233" spans="1:26" ht="109.2">
      <c r="A233" s="95"/>
      <c r="B233" s="27">
        <v>2</v>
      </c>
      <c r="C233" s="107"/>
      <c r="D233" s="101"/>
      <c r="E233" s="27"/>
      <c r="F233" s="27"/>
      <c r="G233" s="101"/>
      <c r="H233" s="27"/>
      <c r="I233" s="27"/>
      <c r="J233" s="27"/>
      <c r="K233" s="31"/>
      <c r="L233" s="27"/>
      <c r="M233" s="27"/>
      <c r="N233" s="27" t="s">
        <v>78</v>
      </c>
      <c r="O233" s="27" t="s">
        <v>79</v>
      </c>
      <c r="P233" s="27" t="s">
        <v>80</v>
      </c>
      <c r="Q233" s="33">
        <v>1</v>
      </c>
      <c r="R233" s="94" t="s">
        <v>81</v>
      </c>
      <c r="S233" s="34" t="s">
        <v>82</v>
      </c>
      <c r="T233" s="35">
        <v>225000</v>
      </c>
      <c r="U233" s="94" t="s">
        <v>83</v>
      </c>
      <c r="V233" s="36">
        <v>0</v>
      </c>
      <c r="W233" s="36">
        <v>0</v>
      </c>
      <c r="X233" s="36">
        <v>0</v>
      </c>
      <c r="Y233" s="36">
        <v>0</v>
      </c>
      <c r="Z233" s="27">
        <f t="shared" si="19"/>
        <v>225000</v>
      </c>
    </row>
    <row r="234" spans="1:26" ht="109.2">
      <c r="A234" s="95"/>
      <c r="B234" s="27">
        <v>3</v>
      </c>
      <c r="C234" s="107"/>
      <c r="D234" s="101"/>
      <c r="E234" s="27"/>
      <c r="F234" s="27"/>
      <c r="G234" s="101"/>
      <c r="H234" s="27"/>
      <c r="I234" s="27"/>
      <c r="J234" s="27"/>
      <c r="K234" s="31"/>
      <c r="L234" s="27"/>
      <c r="M234" s="27"/>
      <c r="N234" s="27" t="s">
        <v>78</v>
      </c>
      <c r="O234" s="27" t="s">
        <v>79</v>
      </c>
      <c r="P234" s="27" t="s">
        <v>80</v>
      </c>
      <c r="Q234" s="33">
        <v>1</v>
      </c>
      <c r="R234" s="94" t="s">
        <v>81</v>
      </c>
      <c r="S234" s="34" t="s">
        <v>82</v>
      </c>
      <c r="T234" s="35">
        <v>225000</v>
      </c>
      <c r="U234" s="94" t="s">
        <v>83</v>
      </c>
      <c r="V234" s="36">
        <v>0</v>
      </c>
      <c r="W234" s="36">
        <v>0</v>
      </c>
      <c r="X234" s="36">
        <v>0</v>
      </c>
      <c r="Y234" s="36">
        <v>0</v>
      </c>
      <c r="Z234" s="27">
        <f t="shared" si="19"/>
        <v>225000</v>
      </c>
    </row>
    <row r="235" spans="1:26" ht="109.2">
      <c r="A235" s="95"/>
      <c r="B235" s="27">
        <v>4</v>
      </c>
      <c r="C235" s="107"/>
      <c r="D235" s="101"/>
      <c r="E235" s="27"/>
      <c r="F235" s="27"/>
      <c r="G235" s="101"/>
      <c r="H235" s="27"/>
      <c r="I235" s="27"/>
      <c r="J235" s="27"/>
      <c r="K235" s="31"/>
      <c r="L235" s="27"/>
      <c r="M235" s="27"/>
      <c r="N235" s="27" t="s">
        <v>78</v>
      </c>
      <c r="O235" s="27" t="s">
        <v>79</v>
      </c>
      <c r="P235" s="27" t="s">
        <v>80</v>
      </c>
      <c r="Q235" s="33">
        <v>1</v>
      </c>
      <c r="R235" s="94" t="s">
        <v>81</v>
      </c>
      <c r="S235" s="34" t="s">
        <v>82</v>
      </c>
      <c r="T235" s="35">
        <v>225000</v>
      </c>
      <c r="U235" s="94" t="s">
        <v>83</v>
      </c>
      <c r="V235" s="36">
        <v>0</v>
      </c>
      <c r="W235" s="36">
        <v>0</v>
      </c>
      <c r="X235" s="36">
        <v>0</v>
      </c>
      <c r="Y235" s="36">
        <v>0</v>
      </c>
      <c r="Z235" s="27">
        <f t="shared" si="19"/>
        <v>225000</v>
      </c>
    </row>
    <row r="236" spans="1:26" ht="109.2">
      <c r="A236" s="95"/>
      <c r="B236" s="27">
        <v>5</v>
      </c>
      <c r="C236" s="107"/>
      <c r="D236" s="101"/>
      <c r="E236" s="27"/>
      <c r="F236" s="27"/>
      <c r="G236" s="101"/>
      <c r="H236" s="27"/>
      <c r="I236" s="27"/>
      <c r="J236" s="27"/>
      <c r="K236" s="31"/>
      <c r="L236" s="27"/>
      <c r="M236" s="27"/>
      <c r="N236" s="27" t="s">
        <v>78</v>
      </c>
      <c r="O236" s="27" t="s">
        <v>79</v>
      </c>
      <c r="P236" s="27" t="s">
        <v>80</v>
      </c>
      <c r="Q236" s="33">
        <v>1</v>
      </c>
      <c r="R236" s="94" t="s">
        <v>81</v>
      </c>
      <c r="S236" s="34" t="s">
        <v>82</v>
      </c>
      <c r="T236" s="35">
        <v>225000</v>
      </c>
      <c r="U236" s="94" t="s">
        <v>83</v>
      </c>
      <c r="V236" s="36">
        <v>0</v>
      </c>
      <c r="W236" s="36">
        <v>0</v>
      </c>
      <c r="X236" s="36">
        <v>0</v>
      </c>
      <c r="Y236" s="36">
        <v>0</v>
      </c>
      <c r="Z236" s="27">
        <f t="shared" si="19"/>
        <v>225000</v>
      </c>
    </row>
    <row r="237" spans="1:26" ht="109.2">
      <c r="A237" s="95"/>
      <c r="B237" s="27">
        <v>6</v>
      </c>
      <c r="C237" s="107"/>
      <c r="D237" s="101"/>
      <c r="E237" s="27"/>
      <c r="F237" s="27"/>
      <c r="G237" s="101"/>
      <c r="H237" s="27"/>
      <c r="I237" s="27"/>
      <c r="J237" s="27"/>
      <c r="K237" s="31"/>
      <c r="L237" s="27"/>
      <c r="M237" s="27"/>
      <c r="N237" s="27" t="s">
        <v>78</v>
      </c>
      <c r="O237" s="27" t="s">
        <v>79</v>
      </c>
      <c r="P237" s="27" t="s">
        <v>80</v>
      </c>
      <c r="Q237" s="33">
        <v>1</v>
      </c>
      <c r="R237" s="94" t="s">
        <v>81</v>
      </c>
      <c r="S237" s="34" t="s">
        <v>82</v>
      </c>
      <c r="T237" s="35">
        <v>225000</v>
      </c>
      <c r="U237" s="94" t="s">
        <v>83</v>
      </c>
      <c r="V237" s="36">
        <v>0</v>
      </c>
      <c r="W237" s="36">
        <v>0</v>
      </c>
      <c r="X237" s="36">
        <v>0</v>
      </c>
      <c r="Y237" s="36">
        <v>0</v>
      </c>
      <c r="Z237" s="27">
        <f t="shared" si="19"/>
        <v>225000</v>
      </c>
    </row>
    <row r="238" spans="1:26" ht="109.2">
      <c r="A238" s="95"/>
      <c r="B238" s="27">
        <v>7</v>
      </c>
      <c r="C238" s="107"/>
      <c r="D238" s="101"/>
      <c r="E238" s="27"/>
      <c r="F238" s="27"/>
      <c r="G238" s="101"/>
      <c r="H238" s="27"/>
      <c r="I238" s="27"/>
      <c r="J238" s="27"/>
      <c r="K238" s="31"/>
      <c r="L238" s="27"/>
      <c r="M238" s="27"/>
      <c r="N238" s="27" t="s">
        <v>78</v>
      </c>
      <c r="O238" s="27" t="s">
        <v>79</v>
      </c>
      <c r="P238" s="27" t="s">
        <v>80</v>
      </c>
      <c r="Q238" s="33">
        <v>1</v>
      </c>
      <c r="R238" s="94" t="s">
        <v>81</v>
      </c>
      <c r="S238" s="34" t="s">
        <v>82</v>
      </c>
      <c r="T238" s="35">
        <v>225000</v>
      </c>
      <c r="U238" s="94" t="s">
        <v>83</v>
      </c>
      <c r="V238" s="36">
        <v>0</v>
      </c>
      <c r="W238" s="36">
        <v>0</v>
      </c>
      <c r="X238" s="36">
        <v>0</v>
      </c>
      <c r="Y238" s="36">
        <v>0</v>
      </c>
      <c r="Z238" s="27">
        <f t="shared" si="19"/>
        <v>225000</v>
      </c>
    </row>
    <row r="239" spans="1:26" ht="109.2">
      <c r="A239" s="95"/>
      <c r="B239" s="27">
        <v>8</v>
      </c>
      <c r="C239" s="107"/>
      <c r="D239" s="101"/>
      <c r="E239" s="27"/>
      <c r="F239" s="27"/>
      <c r="G239" s="101"/>
      <c r="H239" s="27"/>
      <c r="I239" s="27"/>
      <c r="J239" s="27"/>
      <c r="K239" s="31"/>
      <c r="L239" s="27"/>
      <c r="M239" s="27"/>
      <c r="N239" s="27" t="s">
        <v>78</v>
      </c>
      <c r="O239" s="27" t="s">
        <v>79</v>
      </c>
      <c r="P239" s="27" t="s">
        <v>80</v>
      </c>
      <c r="Q239" s="33">
        <v>1</v>
      </c>
      <c r="R239" s="94" t="s">
        <v>81</v>
      </c>
      <c r="S239" s="34" t="s">
        <v>82</v>
      </c>
      <c r="T239" s="35">
        <v>225000</v>
      </c>
      <c r="U239" s="94" t="s">
        <v>83</v>
      </c>
      <c r="V239" s="36">
        <v>0</v>
      </c>
      <c r="W239" s="36">
        <v>0</v>
      </c>
      <c r="X239" s="36">
        <v>0</v>
      </c>
      <c r="Y239" s="36">
        <v>0</v>
      </c>
      <c r="Z239" s="27">
        <f t="shared" si="19"/>
        <v>225000</v>
      </c>
    </row>
    <row r="240" spans="1:26" ht="109.2">
      <c r="A240" s="95"/>
      <c r="B240" s="27">
        <v>9</v>
      </c>
      <c r="C240" s="107"/>
      <c r="D240" s="101"/>
      <c r="E240" s="27"/>
      <c r="F240" s="27"/>
      <c r="G240" s="101"/>
      <c r="H240" s="27"/>
      <c r="I240" s="27"/>
      <c r="J240" s="27"/>
      <c r="K240" s="31"/>
      <c r="L240" s="27"/>
      <c r="M240" s="27"/>
      <c r="N240" s="27" t="s">
        <v>78</v>
      </c>
      <c r="O240" s="27" t="s">
        <v>79</v>
      </c>
      <c r="P240" s="27" t="s">
        <v>80</v>
      </c>
      <c r="Q240" s="33">
        <v>1</v>
      </c>
      <c r="R240" s="94" t="s">
        <v>81</v>
      </c>
      <c r="S240" s="34" t="s">
        <v>82</v>
      </c>
      <c r="T240" s="35">
        <v>225000</v>
      </c>
      <c r="U240" s="94" t="s">
        <v>83</v>
      </c>
      <c r="V240" s="36">
        <v>0</v>
      </c>
      <c r="W240" s="36">
        <v>0</v>
      </c>
      <c r="X240" s="36">
        <v>0</v>
      </c>
      <c r="Y240" s="36">
        <v>0</v>
      </c>
      <c r="Z240" s="27">
        <f t="shared" si="19"/>
        <v>225000</v>
      </c>
    </row>
    <row r="241" spans="1:26" ht="109.2">
      <c r="A241" s="95"/>
      <c r="B241" s="27">
        <v>10</v>
      </c>
      <c r="C241" s="107"/>
      <c r="D241" s="101"/>
      <c r="E241" s="27"/>
      <c r="F241" s="27"/>
      <c r="G241" s="101"/>
      <c r="H241" s="27"/>
      <c r="I241" s="27"/>
      <c r="J241" s="27"/>
      <c r="K241" s="31"/>
      <c r="L241" s="27"/>
      <c r="M241" s="27"/>
      <c r="N241" s="27" t="s">
        <v>78</v>
      </c>
      <c r="O241" s="27" t="s">
        <v>79</v>
      </c>
      <c r="P241" s="27" t="s">
        <v>80</v>
      </c>
      <c r="Q241" s="33">
        <v>1</v>
      </c>
      <c r="R241" s="94" t="s">
        <v>81</v>
      </c>
      <c r="S241" s="34" t="s">
        <v>82</v>
      </c>
      <c r="T241" s="35">
        <v>225000</v>
      </c>
      <c r="U241" s="94" t="s">
        <v>83</v>
      </c>
      <c r="V241" s="36">
        <v>0</v>
      </c>
      <c r="W241" s="36">
        <v>0</v>
      </c>
      <c r="X241" s="36">
        <v>0</v>
      </c>
      <c r="Y241" s="36">
        <v>0</v>
      </c>
      <c r="Z241" s="27">
        <f t="shared" si="19"/>
        <v>225000</v>
      </c>
    </row>
    <row r="242" spans="1:26" ht="109.2">
      <c r="A242" s="95"/>
      <c r="B242" s="27">
        <v>11</v>
      </c>
      <c r="C242" s="107"/>
      <c r="D242" s="101"/>
      <c r="E242" s="27"/>
      <c r="F242" s="27"/>
      <c r="G242" s="101"/>
      <c r="H242" s="27"/>
      <c r="I242" s="27"/>
      <c r="J242" s="27"/>
      <c r="K242" s="31"/>
      <c r="L242" s="27"/>
      <c r="M242" s="27"/>
      <c r="N242" s="27" t="s">
        <v>78</v>
      </c>
      <c r="O242" s="27" t="s">
        <v>79</v>
      </c>
      <c r="P242" s="27" t="s">
        <v>80</v>
      </c>
      <c r="Q242" s="33">
        <v>1</v>
      </c>
      <c r="R242" s="94" t="s">
        <v>81</v>
      </c>
      <c r="S242" s="34" t="s">
        <v>82</v>
      </c>
      <c r="T242" s="35">
        <v>225000</v>
      </c>
      <c r="U242" s="94" t="s">
        <v>83</v>
      </c>
      <c r="V242" s="36">
        <v>0</v>
      </c>
      <c r="W242" s="36">
        <v>0</v>
      </c>
      <c r="X242" s="36">
        <v>0</v>
      </c>
      <c r="Y242" s="36">
        <v>0</v>
      </c>
      <c r="Z242" s="27">
        <f t="shared" si="19"/>
        <v>225000</v>
      </c>
    </row>
    <row r="243" spans="1:26" ht="109.2">
      <c r="A243" s="95"/>
      <c r="B243" s="27">
        <v>12</v>
      </c>
      <c r="C243" s="107"/>
      <c r="D243" s="101"/>
      <c r="E243" s="27"/>
      <c r="F243" s="27"/>
      <c r="G243" s="101"/>
      <c r="H243" s="27"/>
      <c r="I243" s="27"/>
      <c r="J243" s="27"/>
      <c r="K243" s="31"/>
      <c r="L243" s="27"/>
      <c r="M243" s="27"/>
      <c r="N243" s="27" t="s">
        <v>78</v>
      </c>
      <c r="O243" s="27" t="s">
        <v>79</v>
      </c>
      <c r="P243" s="27" t="s">
        <v>80</v>
      </c>
      <c r="Q243" s="33">
        <v>1</v>
      </c>
      <c r="R243" s="94" t="s">
        <v>81</v>
      </c>
      <c r="S243" s="34" t="s">
        <v>82</v>
      </c>
      <c r="T243" s="35">
        <v>225000</v>
      </c>
      <c r="U243" s="94" t="s">
        <v>83</v>
      </c>
      <c r="V243" s="36">
        <v>0</v>
      </c>
      <c r="W243" s="36">
        <v>0</v>
      </c>
      <c r="X243" s="36">
        <v>0</v>
      </c>
      <c r="Y243" s="36">
        <v>0</v>
      </c>
      <c r="Z243" s="27">
        <f t="shared" si="19"/>
        <v>225000</v>
      </c>
    </row>
    <row r="244" spans="1:26" ht="109.2">
      <c r="A244" s="95"/>
      <c r="B244" s="27">
        <v>13</v>
      </c>
      <c r="C244" s="107"/>
      <c r="D244" s="101"/>
      <c r="E244" s="27"/>
      <c r="F244" s="27"/>
      <c r="G244" s="101"/>
      <c r="H244" s="27"/>
      <c r="I244" s="27"/>
      <c r="J244" s="27"/>
      <c r="K244" s="31"/>
      <c r="L244" s="27"/>
      <c r="M244" s="27"/>
      <c r="N244" s="27" t="s">
        <v>78</v>
      </c>
      <c r="O244" s="27" t="s">
        <v>79</v>
      </c>
      <c r="P244" s="27" t="s">
        <v>80</v>
      </c>
      <c r="Q244" s="33">
        <v>1</v>
      </c>
      <c r="R244" s="94" t="s">
        <v>81</v>
      </c>
      <c r="S244" s="34" t="s">
        <v>82</v>
      </c>
      <c r="T244" s="35">
        <v>225000</v>
      </c>
      <c r="U244" s="94" t="s">
        <v>83</v>
      </c>
      <c r="V244" s="36">
        <v>0</v>
      </c>
      <c r="W244" s="36">
        <v>0</v>
      </c>
      <c r="X244" s="36">
        <v>0</v>
      </c>
      <c r="Y244" s="36">
        <v>0</v>
      </c>
      <c r="Z244" s="27">
        <f t="shared" si="19"/>
        <v>225000</v>
      </c>
    </row>
    <row r="245" spans="1:26" ht="109.2">
      <c r="A245" s="95"/>
      <c r="B245" s="27">
        <v>14</v>
      </c>
      <c r="C245" s="107"/>
      <c r="D245" s="101"/>
      <c r="E245" s="27"/>
      <c r="F245" s="27"/>
      <c r="G245" s="101"/>
      <c r="H245" s="27"/>
      <c r="I245" s="27"/>
      <c r="J245" s="27"/>
      <c r="K245" s="31"/>
      <c r="L245" s="27"/>
      <c r="M245" s="27"/>
      <c r="N245" s="27" t="s">
        <v>78</v>
      </c>
      <c r="O245" s="27" t="s">
        <v>79</v>
      </c>
      <c r="P245" s="27" t="s">
        <v>80</v>
      </c>
      <c r="Q245" s="33">
        <v>1</v>
      </c>
      <c r="R245" s="94" t="s">
        <v>81</v>
      </c>
      <c r="S245" s="34" t="s">
        <v>82</v>
      </c>
      <c r="T245" s="35">
        <v>225000</v>
      </c>
      <c r="U245" s="94" t="s">
        <v>83</v>
      </c>
      <c r="V245" s="36">
        <v>0</v>
      </c>
      <c r="W245" s="36">
        <v>0</v>
      </c>
      <c r="X245" s="36">
        <v>0</v>
      </c>
      <c r="Y245" s="36">
        <v>0</v>
      </c>
      <c r="Z245" s="27">
        <f t="shared" si="19"/>
        <v>225000</v>
      </c>
    </row>
    <row r="246" spans="1:26" ht="109.2">
      <c r="A246" s="95"/>
      <c r="B246" s="27">
        <v>15</v>
      </c>
      <c r="C246" s="107"/>
      <c r="D246" s="101"/>
      <c r="E246" s="27"/>
      <c r="F246" s="27"/>
      <c r="G246" s="101"/>
      <c r="H246" s="27"/>
      <c r="I246" s="27"/>
      <c r="J246" s="27"/>
      <c r="K246" s="31"/>
      <c r="L246" s="27"/>
      <c r="M246" s="27"/>
      <c r="N246" s="27" t="s">
        <v>78</v>
      </c>
      <c r="O246" s="27" t="s">
        <v>79</v>
      </c>
      <c r="P246" s="27" t="s">
        <v>80</v>
      </c>
      <c r="Q246" s="33">
        <v>1</v>
      </c>
      <c r="R246" s="94" t="s">
        <v>81</v>
      </c>
      <c r="S246" s="34" t="s">
        <v>82</v>
      </c>
      <c r="T246" s="35">
        <v>225000</v>
      </c>
      <c r="U246" s="94" t="s">
        <v>83</v>
      </c>
      <c r="V246" s="36">
        <v>0</v>
      </c>
      <c r="W246" s="36">
        <v>0</v>
      </c>
      <c r="X246" s="36">
        <v>0</v>
      </c>
      <c r="Y246" s="36">
        <v>0</v>
      </c>
      <c r="Z246" s="27">
        <f t="shared" si="19"/>
        <v>225000</v>
      </c>
    </row>
    <row r="247" spans="1:26" ht="109.2">
      <c r="A247" s="95"/>
      <c r="B247" s="27">
        <v>16</v>
      </c>
      <c r="C247" s="107"/>
      <c r="D247" s="101"/>
      <c r="E247" s="27"/>
      <c r="F247" s="27"/>
      <c r="G247" s="101"/>
      <c r="H247" s="27"/>
      <c r="I247" s="27"/>
      <c r="J247" s="27"/>
      <c r="K247" s="31"/>
      <c r="L247" s="27"/>
      <c r="M247" s="27"/>
      <c r="N247" s="27" t="s">
        <v>78</v>
      </c>
      <c r="O247" s="27" t="s">
        <v>79</v>
      </c>
      <c r="P247" s="27" t="s">
        <v>80</v>
      </c>
      <c r="Q247" s="33">
        <v>1</v>
      </c>
      <c r="R247" s="94" t="s">
        <v>81</v>
      </c>
      <c r="S247" s="34" t="s">
        <v>82</v>
      </c>
      <c r="T247" s="35">
        <v>225000</v>
      </c>
      <c r="U247" s="94" t="s">
        <v>83</v>
      </c>
      <c r="V247" s="36">
        <v>0</v>
      </c>
      <c r="W247" s="36">
        <v>0</v>
      </c>
      <c r="X247" s="36">
        <v>0</v>
      </c>
      <c r="Y247" s="36">
        <v>0</v>
      </c>
      <c r="Z247" s="27">
        <f t="shared" si="19"/>
        <v>225000</v>
      </c>
    </row>
    <row r="248" spans="1:26" ht="109.2">
      <c r="A248" s="95"/>
      <c r="B248" s="27">
        <v>17</v>
      </c>
      <c r="C248" s="107"/>
      <c r="D248" s="101"/>
      <c r="E248" s="27"/>
      <c r="F248" s="27"/>
      <c r="G248" s="101"/>
      <c r="H248" s="27"/>
      <c r="I248" s="27"/>
      <c r="J248" s="27"/>
      <c r="K248" s="31"/>
      <c r="L248" s="27"/>
      <c r="M248" s="27"/>
      <c r="N248" s="27" t="s">
        <v>78</v>
      </c>
      <c r="O248" s="27" t="s">
        <v>79</v>
      </c>
      <c r="P248" s="27" t="s">
        <v>80</v>
      </c>
      <c r="Q248" s="33">
        <v>1</v>
      </c>
      <c r="R248" s="94" t="s">
        <v>81</v>
      </c>
      <c r="S248" s="34" t="s">
        <v>82</v>
      </c>
      <c r="T248" s="35">
        <v>225000</v>
      </c>
      <c r="U248" s="94" t="s">
        <v>83</v>
      </c>
      <c r="V248" s="36">
        <v>0</v>
      </c>
      <c r="W248" s="36">
        <v>0</v>
      </c>
      <c r="X248" s="36">
        <v>0</v>
      </c>
      <c r="Y248" s="36">
        <v>0</v>
      </c>
      <c r="Z248" s="27">
        <f t="shared" si="19"/>
        <v>225000</v>
      </c>
    </row>
    <row r="249" spans="1:26" ht="109.2">
      <c r="A249" s="95"/>
      <c r="B249" s="27">
        <v>18</v>
      </c>
      <c r="C249" s="107"/>
      <c r="D249" s="101"/>
      <c r="E249" s="27"/>
      <c r="F249" s="27"/>
      <c r="G249" s="101"/>
      <c r="H249" s="27"/>
      <c r="I249" s="27"/>
      <c r="J249" s="27"/>
      <c r="K249" s="31"/>
      <c r="L249" s="27"/>
      <c r="M249" s="27"/>
      <c r="N249" s="27" t="s">
        <v>78</v>
      </c>
      <c r="O249" s="27" t="s">
        <v>79</v>
      </c>
      <c r="P249" s="27" t="s">
        <v>80</v>
      </c>
      <c r="Q249" s="33">
        <v>1</v>
      </c>
      <c r="R249" s="94" t="s">
        <v>81</v>
      </c>
      <c r="S249" s="34" t="s">
        <v>82</v>
      </c>
      <c r="T249" s="35">
        <v>225000</v>
      </c>
      <c r="U249" s="94" t="s">
        <v>83</v>
      </c>
      <c r="V249" s="36">
        <v>0</v>
      </c>
      <c r="W249" s="36">
        <v>0</v>
      </c>
      <c r="X249" s="36">
        <v>0</v>
      </c>
      <c r="Y249" s="36">
        <v>0</v>
      </c>
      <c r="Z249" s="27">
        <f t="shared" si="19"/>
        <v>225000</v>
      </c>
    </row>
    <row r="250" spans="1:26" ht="109.2">
      <c r="A250" s="95"/>
      <c r="B250" s="27">
        <v>19</v>
      </c>
      <c r="C250" s="107"/>
      <c r="D250" s="101"/>
      <c r="E250" s="27"/>
      <c r="F250" s="27"/>
      <c r="G250" s="101"/>
      <c r="H250" s="27"/>
      <c r="I250" s="27"/>
      <c r="J250" s="27"/>
      <c r="K250" s="31"/>
      <c r="L250" s="27"/>
      <c r="M250" s="27"/>
      <c r="N250" s="27" t="s">
        <v>78</v>
      </c>
      <c r="O250" s="27" t="s">
        <v>79</v>
      </c>
      <c r="P250" s="27" t="s">
        <v>80</v>
      </c>
      <c r="Q250" s="33">
        <v>1</v>
      </c>
      <c r="R250" s="94" t="s">
        <v>81</v>
      </c>
      <c r="S250" s="34" t="s">
        <v>82</v>
      </c>
      <c r="T250" s="35">
        <v>225000</v>
      </c>
      <c r="U250" s="94" t="s">
        <v>83</v>
      </c>
      <c r="V250" s="36">
        <v>0</v>
      </c>
      <c r="W250" s="36">
        <v>0</v>
      </c>
      <c r="X250" s="36">
        <v>0</v>
      </c>
      <c r="Y250" s="36">
        <v>0</v>
      </c>
      <c r="Z250" s="27">
        <f t="shared" si="19"/>
        <v>225000</v>
      </c>
    </row>
    <row r="251" spans="1:26" ht="109.2">
      <c r="A251" s="95"/>
      <c r="B251" s="27">
        <v>20</v>
      </c>
      <c r="C251" s="107"/>
      <c r="D251" s="101"/>
      <c r="E251" s="27"/>
      <c r="F251" s="27"/>
      <c r="G251" s="101"/>
      <c r="H251" s="27"/>
      <c r="I251" s="27"/>
      <c r="J251" s="27"/>
      <c r="K251" s="31"/>
      <c r="L251" s="27"/>
      <c r="M251" s="27"/>
      <c r="N251" s="27" t="s">
        <v>78</v>
      </c>
      <c r="O251" s="27" t="s">
        <v>79</v>
      </c>
      <c r="P251" s="27" t="s">
        <v>80</v>
      </c>
      <c r="Q251" s="33">
        <v>1</v>
      </c>
      <c r="R251" s="94" t="s">
        <v>81</v>
      </c>
      <c r="S251" s="34" t="s">
        <v>82</v>
      </c>
      <c r="T251" s="35">
        <v>225000</v>
      </c>
      <c r="U251" s="94" t="s">
        <v>83</v>
      </c>
      <c r="V251" s="36">
        <v>0</v>
      </c>
      <c r="W251" s="36">
        <v>0</v>
      </c>
      <c r="X251" s="36">
        <v>0</v>
      </c>
      <c r="Y251" s="36">
        <v>0</v>
      </c>
      <c r="Z251" s="27">
        <f t="shared" si="19"/>
        <v>225000</v>
      </c>
    </row>
    <row r="252" spans="1:26" ht="109.2">
      <c r="A252" s="95"/>
      <c r="B252" s="27">
        <v>21</v>
      </c>
      <c r="C252" s="107"/>
      <c r="D252" s="101"/>
      <c r="E252" s="27"/>
      <c r="F252" s="27"/>
      <c r="G252" s="101"/>
      <c r="H252" s="27"/>
      <c r="I252" s="27"/>
      <c r="J252" s="27"/>
      <c r="K252" s="31"/>
      <c r="L252" s="27"/>
      <c r="M252" s="27"/>
      <c r="N252" s="27" t="s">
        <v>78</v>
      </c>
      <c r="O252" s="27" t="s">
        <v>79</v>
      </c>
      <c r="P252" s="27" t="s">
        <v>80</v>
      </c>
      <c r="Q252" s="33">
        <v>1</v>
      </c>
      <c r="R252" s="94" t="s">
        <v>81</v>
      </c>
      <c r="S252" s="34" t="s">
        <v>82</v>
      </c>
      <c r="T252" s="35">
        <v>225000</v>
      </c>
      <c r="U252" s="94" t="s">
        <v>83</v>
      </c>
      <c r="V252" s="36">
        <v>0</v>
      </c>
      <c r="W252" s="36">
        <v>0</v>
      </c>
      <c r="X252" s="36">
        <v>0</v>
      </c>
      <c r="Y252" s="36">
        <v>0</v>
      </c>
      <c r="Z252" s="27">
        <f t="shared" si="19"/>
        <v>225000</v>
      </c>
    </row>
    <row r="253" spans="1:26" ht="109.2">
      <c r="A253" s="95"/>
      <c r="B253" s="27">
        <v>22</v>
      </c>
      <c r="C253" s="107"/>
      <c r="D253" s="101"/>
      <c r="E253" s="27"/>
      <c r="F253" s="27"/>
      <c r="G253" s="101"/>
      <c r="H253" s="27"/>
      <c r="I253" s="27"/>
      <c r="J253" s="27"/>
      <c r="K253" s="31"/>
      <c r="L253" s="27"/>
      <c r="M253" s="27"/>
      <c r="N253" s="27" t="s">
        <v>78</v>
      </c>
      <c r="O253" s="27" t="s">
        <v>79</v>
      </c>
      <c r="P253" s="27" t="s">
        <v>80</v>
      </c>
      <c r="Q253" s="33">
        <v>1</v>
      </c>
      <c r="R253" s="94" t="s">
        <v>81</v>
      </c>
      <c r="S253" s="34" t="s">
        <v>82</v>
      </c>
      <c r="T253" s="35">
        <v>225000</v>
      </c>
      <c r="U253" s="94" t="s">
        <v>83</v>
      </c>
      <c r="V253" s="36">
        <v>0</v>
      </c>
      <c r="W253" s="36">
        <v>0</v>
      </c>
      <c r="X253" s="36">
        <v>0</v>
      </c>
      <c r="Y253" s="36">
        <v>0</v>
      </c>
      <c r="Z253" s="27">
        <f t="shared" si="19"/>
        <v>225000</v>
      </c>
    </row>
    <row r="254" spans="1:26" ht="109.2">
      <c r="A254" s="95"/>
      <c r="B254" s="27">
        <v>23</v>
      </c>
      <c r="C254" s="107"/>
      <c r="D254" s="101"/>
      <c r="E254" s="27"/>
      <c r="F254" s="27"/>
      <c r="G254" s="101"/>
      <c r="H254" s="27"/>
      <c r="I254" s="27"/>
      <c r="J254" s="27"/>
      <c r="K254" s="31"/>
      <c r="L254" s="27"/>
      <c r="M254" s="27"/>
      <c r="N254" s="27" t="s">
        <v>78</v>
      </c>
      <c r="O254" s="27" t="s">
        <v>79</v>
      </c>
      <c r="P254" s="27" t="s">
        <v>80</v>
      </c>
      <c r="Q254" s="33">
        <v>1</v>
      </c>
      <c r="R254" s="94" t="s">
        <v>81</v>
      </c>
      <c r="S254" s="34" t="s">
        <v>82</v>
      </c>
      <c r="T254" s="35">
        <v>225000</v>
      </c>
      <c r="U254" s="94" t="s">
        <v>83</v>
      </c>
      <c r="V254" s="36">
        <v>0</v>
      </c>
      <c r="W254" s="36">
        <v>0</v>
      </c>
      <c r="X254" s="36">
        <v>0</v>
      </c>
      <c r="Y254" s="36">
        <v>0</v>
      </c>
      <c r="Z254" s="27">
        <f t="shared" si="19"/>
        <v>225000</v>
      </c>
    </row>
    <row r="255" spans="1:26" ht="109.2">
      <c r="A255" s="95"/>
      <c r="B255" s="27">
        <v>24</v>
      </c>
      <c r="C255" s="107"/>
      <c r="D255" s="101"/>
      <c r="E255" s="27"/>
      <c r="F255" s="27"/>
      <c r="G255" s="101"/>
      <c r="H255" s="27"/>
      <c r="I255" s="27"/>
      <c r="J255" s="27"/>
      <c r="K255" s="31"/>
      <c r="L255" s="27"/>
      <c r="M255" s="27"/>
      <c r="N255" s="27" t="s">
        <v>78</v>
      </c>
      <c r="O255" s="27" t="s">
        <v>79</v>
      </c>
      <c r="P255" s="27" t="s">
        <v>80</v>
      </c>
      <c r="Q255" s="33">
        <v>1</v>
      </c>
      <c r="R255" s="94" t="s">
        <v>81</v>
      </c>
      <c r="S255" s="34" t="s">
        <v>82</v>
      </c>
      <c r="T255" s="35">
        <v>150000</v>
      </c>
      <c r="U255" s="94" t="s">
        <v>83</v>
      </c>
      <c r="V255" s="36">
        <v>0</v>
      </c>
      <c r="W255" s="36">
        <v>0</v>
      </c>
      <c r="X255" s="36">
        <v>0</v>
      </c>
      <c r="Y255" s="36">
        <v>0</v>
      </c>
      <c r="Z255" s="27">
        <f t="shared" si="19"/>
        <v>150000</v>
      </c>
    </row>
    <row r="256" spans="1:26" ht="109.2">
      <c r="A256" s="95"/>
      <c r="B256" s="27">
        <v>25</v>
      </c>
      <c r="C256" s="107"/>
      <c r="D256" s="101"/>
      <c r="E256" s="27"/>
      <c r="F256" s="27"/>
      <c r="G256" s="101"/>
      <c r="H256" s="27"/>
      <c r="I256" s="27"/>
      <c r="J256" s="27"/>
      <c r="K256" s="31"/>
      <c r="L256" s="27"/>
      <c r="M256" s="27"/>
      <c r="N256" s="27" t="s">
        <v>78</v>
      </c>
      <c r="O256" s="27" t="s">
        <v>79</v>
      </c>
      <c r="P256" s="27" t="s">
        <v>80</v>
      </c>
      <c r="Q256" s="33">
        <v>1</v>
      </c>
      <c r="R256" s="94" t="s">
        <v>81</v>
      </c>
      <c r="S256" s="34" t="s">
        <v>82</v>
      </c>
      <c r="T256" s="35">
        <v>150000</v>
      </c>
      <c r="U256" s="94" t="s">
        <v>83</v>
      </c>
      <c r="V256" s="36">
        <v>0</v>
      </c>
      <c r="W256" s="36">
        <v>0</v>
      </c>
      <c r="X256" s="36">
        <v>0</v>
      </c>
      <c r="Y256" s="36">
        <v>0</v>
      </c>
      <c r="Z256" s="27">
        <f t="shared" si="19"/>
        <v>150000</v>
      </c>
    </row>
    <row r="257" spans="1:26" ht="109.2">
      <c r="A257" s="95"/>
      <c r="B257" s="27">
        <v>26</v>
      </c>
      <c r="C257" s="107"/>
      <c r="D257" s="101"/>
      <c r="E257" s="27"/>
      <c r="F257" s="27"/>
      <c r="G257" s="101"/>
      <c r="H257" s="27"/>
      <c r="I257" s="27"/>
      <c r="J257" s="27"/>
      <c r="K257" s="31"/>
      <c r="L257" s="27"/>
      <c r="M257" s="27"/>
      <c r="N257" s="27" t="s">
        <v>78</v>
      </c>
      <c r="O257" s="27" t="s">
        <v>79</v>
      </c>
      <c r="P257" s="27" t="s">
        <v>80</v>
      </c>
      <c r="Q257" s="33">
        <v>1</v>
      </c>
      <c r="R257" s="94" t="s">
        <v>81</v>
      </c>
      <c r="S257" s="34" t="s">
        <v>82</v>
      </c>
      <c r="T257" s="35">
        <v>150000</v>
      </c>
      <c r="U257" s="94" t="s">
        <v>83</v>
      </c>
      <c r="V257" s="36">
        <v>0</v>
      </c>
      <c r="W257" s="36">
        <v>0</v>
      </c>
      <c r="X257" s="36">
        <v>0</v>
      </c>
      <c r="Y257" s="36">
        <v>0</v>
      </c>
      <c r="Z257" s="27">
        <f t="shared" si="19"/>
        <v>150000</v>
      </c>
    </row>
    <row r="258" spans="1:26" ht="109.2">
      <c r="A258" s="95"/>
      <c r="B258" s="27">
        <v>27</v>
      </c>
      <c r="C258" s="107"/>
      <c r="D258" s="101"/>
      <c r="E258" s="27"/>
      <c r="F258" s="27"/>
      <c r="G258" s="101"/>
      <c r="H258" s="27"/>
      <c r="I258" s="27"/>
      <c r="J258" s="27"/>
      <c r="K258" s="31"/>
      <c r="L258" s="27"/>
      <c r="M258" s="27"/>
      <c r="N258" s="27" t="s">
        <v>78</v>
      </c>
      <c r="O258" s="27" t="s">
        <v>79</v>
      </c>
      <c r="P258" s="27" t="s">
        <v>80</v>
      </c>
      <c r="Q258" s="33">
        <v>1</v>
      </c>
      <c r="R258" s="94" t="s">
        <v>81</v>
      </c>
      <c r="S258" s="34" t="s">
        <v>82</v>
      </c>
      <c r="T258" s="35">
        <v>150000</v>
      </c>
      <c r="U258" s="94" t="s">
        <v>83</v>
      </c>
      <c r="V258" s="36">
        <v>0</v>
      </c>
      <c r="W258" s="36">
        <v>0</v>
      </c>
      <c r="X258" s="36">
        <v>0</v>
      </c>
      <c r="Y258" s="36">
        <v>0</v>
      </c>
      <c r="Z258" s="27">
        <f t="shared" si="19"/>
        <v>150000</v>
      </c>
    </row>
    <row r="259" spans="1:26" ht="109.2">
      <c r="A259" s="95"/>
      <c r="B259" s="27">
        <v>28</v>
      </c>
      <c r="C259" s="107"/>
      <c r="D259" s="101"/>
      <c r="E259" s="27"/>
      <c r="F259" s="27"/>
      <c r="G259" s="101"/>
      <c r="H259" s="27"/>
      <c r="I259" s="27"/>
      <c r="J259" s="27"/>
      <c r="K259" s="31"/>
      <c r="L259" s="27"/>
      <c r="M259" s="27"/>
      <c r="N259" s="27" t="s">
        <v>78</v>
      </c>
      <c r="O259" s="27" t="s">
        <v>79</v>
      </c>
      <c r="P259" s="27" t="s">
        <v>80</v>
      </c>
      <c r="Q259" s="33">
        <v>1</v>
      </c>
      <c r="R259" s="94" t="s">
        <v>81</v>
      </c>
      <c r="S259" s="34" t="s">
        <v>82</v>
      </c>
      <c r="T259" s="35">
        <v>150000</v>
      </c>
      <c r="U259" s="94" t="s">
        <v>83</v>
      </c>
      <c r="V259" s="36">
        <v>0</v>
      </c>
      <c r="W259" s="36">
        <v>0</v>
      </c>
      <c r="X259" s="36">
        <v>0</v>
      </c>
      <c r="Y259" s="36">
        <v>0</v>
      </c>
      <c r="Z259" s="27">
        <f t="shared" si="19"/>
        <v>150000</v>
      </c>
    </row>
    <row r="260" spans="1:26" ht="109.2">
      <c r="A260" s="95"/>
      <c r="B260" s="27">
        <v>29</v>
      </c>
      <c r="C260" s="107"/>
      <c r="D260" s="101"/>
      <c r="E260" s="27"/>
      <c r="F260" s="27"/>
      <c r="G260" s="101"/>
      <c r="H260" s="27"/>
      <c r="I260" s="27"/>
      <c r="J260" s="27"/>
      <c r="K260" s="31"/>
      <c r="L260" s="27"/>
      <c r="M260" s="27"/>
      <c r="N260" s="27" t="s">
        <v>78</v>
      </c>
      <c r="O260" s="27" t="s">
        <v>79</v>
      </c>
      <c r="P260" s="27" t="s">
        <v>80</v>
      </c>
      <c r="Q260" s="33">
        <v>1</v>
      </c>
      <c r="R260" s="94" t="s">
        <v>81</v>
      </c>
      <c r="S260" s="34" t="s">
        <v>82</v>
      </c>
      <c r="T260" s="35">
        <v>150000</v>
      </c>
      <c r="U260" s="94" t="s">
        <v>83</v>
      </c>
      <c r="V260" s="36">
        <v>0</v>
      </c>
      <c r="W260" s="36">
        <v>0</v>
      </c>
      <c r="X260" s="36">
        <v>0</v>
      </c>
      <c r="Y260" s="36">
        <v>0</v>
      </c>
      <c r="Z260" s="27">
        <f t="shared" si="19"/>
        <v>150000</v>
      </c>
    </row>
    <row r="261" spans="1:26" ht="109.2">
      <c r="A261" s="95"/>
      <c r="B261" s="27">
        <v>30</v>
      </c>
      <c r="C261" s="107"/>
      <c r="D261" s="101"/>
      <c r="E261" s="27"/>
      <c r="F261" s="27"/>
      <c r="G261" s="101"/>
      <c r="H261" s="27"/>
      <c r="I261" s="27"/>
      <c r="J261" s="27"/>
      <c r="K261" s="31"/>
      <c r="L261" s="27"/>
      <c r="M261" s="27"/>
      <c r="N261" s="27" t="s">
        <v>78</v>
      </c>
      <c r="O261" s="27" t="s">
        <v>79</v>
      </c>
      <c r="P261" s="27" t="s">
        <v>80</v>
      </c>
      <c r="Q261" s="33">
        <v>1</v>
      </c>
      <c r="R261" s="94" t="s">
        <v>81</v>
      </c>
      <c r="S261" s="34" t="s">
        <v>82</v>
      </c>
      <c r="T261" s="35">
        <v>150000</v>
      </c>
      <c r="U261" s="94" t="s">
        <v>83</v>
      </c>
      <c r="V261" s="36">
        <v>0</v>
      </c>
      <c r="W261" s="36">
        <v>0</v>
      </c>
      <c r="X261" s="36">
        <v>0</v>
      </c>
      <c r="Y261" s="36">
        <v>0</v>
      </c>
      <c r="Z261" s="27">
        <f t="shared" si="19"/>
        <v>150000</v>
      </c>
    </row>
    <row r="262" spans="1:26" ht="109.2">
      <c r="A262" s="95"/>
      <c r="B262" s="27">
        <v>31</v>
      </c>
      <c r="C262" s="107"/>
      <c r="D262" s="101"/>
      <c r="E262" s="27"/>
      <c r="F262" s="27"/>
      <c r="G262" s="101"/>
      <c r="H262" s="27"/>
      <c r="I262" s="27"/>
      <c r="J262" s="27"/>
      <c r="K262" s="31"/>
      <c r="L262" s="27"/>
      <c r="M262" s="27"/>
      <c r="N262" s="27" t="s">
        <v>78</v>
      </c>
      <c r="O262" s="27" t="s">
        <v>79</v>
      </c>
      <c r="P262" s="27" t="s">
        <v>80</v>
      </c>
      <c r="Q262" s="33">
        <v>1</v>
      </c>
      <c r="R262" s="94" t="s">
        <v>81</v>
      </c>
      <c r="S262" s="34" t="s">
        <v>82</v>
      </c>
      <c r="T262" s="35">
        <v>150000</v>
      </c>
      <c r="U262" s="94" t="s">
        <v>83</v>
      </c>
      <c r="V262" s="36">
        <v>0</v>
      </c>
      <c r="W262" s="36">
        <v>0</v>
      </c>
      <c r="X262" s="36">
        <v>0</v>
      </c>
      <c r="Y262" s="36">
        <v>0</v>
      </c>
      <c r="Z262" s="27">
        <f t="shared" si="19"/>
        <v>150000</v>
      </c>
    </row>
    <row r="263" spans="1:26" ht="109.2">
      <c r="A263" s="95"/>
      <c r="B263" s="27">
        <v>32</v>
      </c>
      <c r="C263" s="107"/>
      <c r="D263" s="101"/>
      <c r="E263" s="27"/>
      <c r="F263" s="27"/>
      <c r="G263" s="101"/>
      <c r="H263" s="27"/>
      <c r="I263" s="27"/>
      <c r="J263" s="27"/>
      <c r="K263" s="31"/>
      <c r="L263" s="27"/>
      <c r="M263" s="27"/>
      <c r="N263" s="27" t="s">
        <v>78</v>
      </c>
      <c r="O263" s="27" t="s">
        <v>79</v>
      </c>
      <c r="P263" s="27" t="s">
        <v>80</v>
      </c>
      <c r="Q263" s="33">
        <v>1</v>
      </c>
      <c r="R263" s="94" t="s">
        <v>81</v>
      </c>
      <c r="S263" s="34" t="s">
        <v>82</v>
      </c>
      <c r="T263" s="35">
        <v>150000</v>
      </c>
      <c r="U263" s="94" t="s">
        <v>83</v>
      </c>
      <c r="V263" s="36">
        <v>0</v>
      </c>
      <c r="W263" s="36">
        <v>0</v>
      </c>
      <c r="X263" s="36">
        <v>0</v>
      </c>
      <c r="Y263" s="36">
        <v>0</v>
      </c>
      <c r="Z263" s="27">
        <f t="shared" si="19"/>
        <v>150000</v>
      </c>
    </row>
    <row r="264" spans="1:26" ht="109.2">
      <c r="A264" s="95"/>
      <c r="B264" s="27">
        <v>33</v>
      </c>
      <c r="C264" s="107"/>
      <c r="D264" s="101"/>
      <c r="E264" s="27"/>
      <c r="F264" s="27"/>
      <c r="G264" s="101"/>
      <c r="H264" s="27"/>
      <c r="I264" s="27"/>
      <c r="J264" s="27"/>
      <c r="K264" s="31"/>
      <c r="L264" s="27"/>
      <c r="M264" s="27"/>
      <c r="N264" s="27" t="s">
        <v>78</v>
      </c>
      <c r="O264" s="27" t="s">
        <v>79</v>
      </c>
      <c r="P264" s="27" t="s">
        <v>80</v>
      </c>
      <c r="Q264" s="33">
        <v>1</v>
      </c>
      <c r="R264" s="94" t="s">
        <v>81</v>
      </c>
      <c r="S264" s="34" t="s">
        <v>82</v>
      </c>
      <c r="T264" s="35">
        <v>150000</v>
      </c>
      <c r="U264" s="94" t="s">
        <v>83</v>
      </c>
      <c r="V264" s="36">
        <v>0</v>
      </c>
      <c r="W264" s="36">
        <v>0</v>
      </c>
      <c r="X264" s="36">
        <v>0</v>
      </c>
      <c r="Y264" s="36">
        <v>0</v>
      </c>
      <c r="Z264" s="27">
        <f t="shared" si="19"/>
        <v>150000</v>
      </c>
    </row>
    <row r="265" spans="1:26" ht="109.2">
      <c r="A265" s="95"/>
      <c r="B265" s="27">
        <v>34</v>
      </c>
      <c r="C265" s="107"/>
      <c r="D265" s="101"/>
      <c r="E265" s="27"/>
      <c r="F265" s="27"/>
      <c r="G265" s="101"/>
      <c r="H265" s="27"/>
      <c r="I265" s="27"/>
      <c r="J265" s="27"/>
      <c r="K265" s="31"/>
      <c r="L265" s="27"/>
      <c r="M265" s="27"/>
      <c r="N265" s="27" t="s">
        <v>78</v>
      </c>
      <c r="O265" s="27" t="s">
        <v>79</v>
      </c>
      <c r="P265" s="27" t="s">
        <v>80</v>
      </c>
      <c r="Q265" s="33">
        <v>1</v>
      </c>
      <c r="R265" s="94" t="s">
        <v>81</v>
      </c>
      <c r="S265" s="34" t="s">
        <v>82</v>
      </c>
      <c r="T265" s="35">
        <v>150000</v>
      </c>
      <c r="U265" s="94" t="s">
        <v>83</v>
      </c>
      <c r="V265" s="36">
        <v>0</v>
      </c>
      <c r="W265" s="36">
        <v>0</v>
      </c>
      <c r="X265" s="36">
        <v>0</v>
      </c>
      <c r="Y265" s="36">
        <v>0</v>
      </c>
      <c r="Z265" s="27">
        <f t="shared" si="19"/>
        <v>150000</v>
      </c>
    </row>
    <row r="266" spans="1:26" ht="109.2">
      <c r="A266" s="95"/>
      <c r="B266" s="27">
        <v>35</v>
      </c>
      <c r="C266" s="107"/>
      <c r="D266" s="101"/>
      <c r="E266" s="27"/>
      <c r="F266" s="27"/>
      <c r="G266" s="101"/>
      <c r="H266" s="27"/>
      <c r="I266" s="27"/>
      <c r="J266" s="27"/>
      <c r="K266" s="31"/>
      <c r="L266" s="27"/>
      <c r="M266" s="27"/>
      <c r="N266" s="27" t="s">
        <v>78</v>
      </c>
      <c r="O266" s="27" t="s">
        <v>79</v>
      </c>
      <c r="P266" s="27" t="s">
        <v>80</v>
      </c>
      <c r="Q266" s="33">
        <v>1</v>
      </c>
      <c r="R266" s="94" t="s">
        <v>81</v>
      </c>
      <c r="S266" s="34" t="s">
        <v>82</v>
      </c>
      <c r="T266" s="35">
        <v>150000</v>
      </c>
      <c r="U266" s="94" t="s">
        <v>83</v>
      </c>
      <c r="V266" s="36">
        <v>0</v>
      </c>
      <c r="W266" s="36">
        <v>0</v>
      </c>
      <c r="X266" s="36">
        <v>0</v>
      </c>
      <c r="Y266" s="36">
        <v>0</v>
      </c>
      <c r="Z266" s="27">
        <f t="shared" si="19"/>
        <v>150000</v>
      </c>
    </row>
    <row r="267" spans="1:26" ht="109.2">
      <c r="A267" s="95"/>
      <c r="B267" s="27">
        <v>36</v>
      </c>
      <c r="C267" s="107"/>
      <c r="D267" s="101"/>
      <c r="E267" s="27"/>
      <c r="F267" s="27"/>
      <c r="G267" s="101"/>
      <c r="H267" s="27"/>
      <c r="I267" s="27"/>
      <c r="J267" s="27"/>
      <c r="K267" s="31"/>
      <c r="L267" s="27"/>
      <c r="M267" s="27"/>
      <c r="N267" s="27" t="s">
        <v>78</v>
      </c>
      <c r="O267" s="27" t="s">
        <v>79</v>
      </c>
      <c r="P267" s="27" t="s">
        <v>80</v>
      </c>
      <c r="Q267" s="33">
        <v>1</v>
      </c>
      <c r="R267" s="94" t="s">
        <v>81</v>
      </c>
      <c r="S267" s="34" t="s">
        <v>82</v>
      </c>
      <c r="T267" s="35">
        <v>150000</v>
      </c>
      <c r="U267" s="94" t="s">
        <v>83</v>
      </c>
      <c r="V267" s="36">
        <v>0</v>
      </c>
      <c r="W267" s="36">
        <v>0</v>
      </c>
      <c r="X267" s="36">
        <v>0</v>
      </c>
      <c r="Y267" s="36">
        <v>0</v>
      </c>
      <c r="Z267" s="27">
        <f t="shared" si="19"/>
        <v>150000</v>
      </c>
    </row>
    <row r="268" spans="1:26" ht="109.2">
      <c r="A268" s="95"/>
      <c r="B268" s="27">
        <v>37</v>
      </c>
      <c r="C268" s="107"/>
      <c r="D268" s="101"/>
      <c r="E268" s="27"/>
      <c r="F268" s="27"/>
      <c r="G268" s="101"/>
      <c r="H268" s="27"/>
      <c r="I268" s="27"/>
      <c r="J268" s="27"/>
      <c r="K268" s="31"/>
      <c r="L268" s="27"/>
      <c r="M268" s="27"/>
      <c r="N268" s="27" t="s">
        <v>78</v>
      </c>
      <c r="O268" s="27" t="s">
        <v>79</v>
      </c>
      <c r="P268" s="27" t="s">
        <v>80</v>
      </c>
      <c r="Q268" s="33">
        <v>1</v>
      </c>
      <c r="R268" s="94" t="s">
        <v>81</v>
      </c>
      <c r="S268" s="34" t="s">
        <v>82</v>
      </c>
      <c r="T268" s="35">
        <v>150000</v>
      </c>
      <c r="U268" s="94" t="s">
        <v>83</v>
      </c>
      <c r="V268" s="36">
        <v>0</v>
      </c>
      <c r="W268" s="36">
        <v>0</v>
      </c>
      <c r="X268" s="36">
        <v>0</v>
      </c>
      <c r="Y268" s="36">
        <v>0</v>
      </c>
      <c r="Z268" s="27">
        <f t="shared" si="19"/>
        <v>150000</v>
      </c>
    </row>
    <row r="269" spans="1:26" ht="109.2">
      <c r="A269" s="95"/>
      <c r="B269" s="27">
        <v>38</v>
      </c>
      <c r="C269" s="107"/>
      <c r="D269" s="101"/>
      <c r="E269" s="27"/>
      <c r="F269" s="27"/>
      <c r="G269" s="101"/>
      <c r="H269" s="27"/>
      <c r="I269" s="27"/>
      <c r="J269" s="27"/>
      <c r="K269" s="31"/>
      <c r="L269" s="27"/>
      <c r="M269" s="27"/>
      <c r="N269" s="27" t="s">
        <v>78</v>
      </c>
      <c r="O269" s="27" t="s">
        <v>79</v>
      </c>
      <c r="P269" s="27" t="s">
        <v>80</v>
      </c>
      <c r="Q269" s="33">
        <v>1</v>
      </c>
      <c r="R269" s="94" t="s">
        <v>81</v>
      </c>
      <c r="S269" s="34" t="s">
        <v>82</v>
      </c>
      <c r="T269" s="35">
        <v>150000</v>
      </c>
      <c r="U269" s="94" t="s">
        <v>83</v>
      </c>
      <c r="V269" s="36">
        <v>0</v>
      </c>
      <c r="W269" s="36">
        <v>0</v>
      </c>
      <c r="X269" s="36">
        <v>0</v>
      </c>
      <c r="Y269" s="36">
        <v>0</v>
      </c>
      <c r="Z269" s="27">
        <f t="shared" si="19"/>
        <v>150000</v>
      </c>
    </row>
    <row r="270" spans="1:26" ht="109.2">
      <c r="A270" s="95"/>
      <c r="B270" s="27">
        <v>39</v>
      </c>
      <c r="C270" s="107"/>
      <c r="D270" s="101"/>
      <c r="E270" s="27"/>
      <c r="F270" s="27"/>
      <c r="G270" s="101"/>
      <c r="H270" s="27"/>
      <c r="I270" s="27"/>
      <c r="J270" s="27"/>
      <c r="K270" s="31"/>
      <c r="L270" s="27"/>
      <c r="M270" s="27"/>
      <c r="N270" s="27" t="s">
        <v>78</v>
      </c>
      <c r="O270" s="27" t="s">
        <v>79</v>
      </c>
      <c r="P270" s="27" t="s">
        <v>80</v>
      </c>
      <c r="Q270" s="33">
        <v>1</v>
      </c>
      <c r="R270" s="94" t="s">
        <v>81</v>
      </c>
      <c r="S270" s="34" t="s">
        <v>82</v>
      </c>
      <c r="T270" s="35">
        <v>150000</v>
      </c>
      <c r="U270" s="94" t="s">
        <v>83</v>
      </c>
      <c r="V270" s="36">
        <v>0</v>
      </c>
      <c r="W270" s="36">
        <v>0</v>
      </c>
      <c r="X270" s="36">
        <v>0</v>
      </c>
      <c r="Y270" s="36">
        <v>0</v>
      </c>
      <c r="Z270" s="27">
        <f t="shared" si="19"/>
        <v>150000</v>
      </c>
    </row>
    <row r="271" spans="1:26" ht="109.2">
      <c r="A271" s="95"/>
      <c r="B271" s="27">
        <v>40</v>
      </c>
      <c r="C271" s="107"/>
      <c r="D271" s="101"/>
      <c r="E271" s="27"/>
      <c r="F271" s="27"/>
      <c r="G271" s="101"/>
      <c r="H271" s="27"/>
      <c r="I271" s="27"/>
      <c r="J271" s="27"/>
      <c r="K271" s="31"/>
      <c r="L271" s="27"/>
      <c r="M271" s="27"/>
      <c r="N271" s="27" t="s">
        <v>78</v>
      </c>
      <c r="O271" s="27" t="s">
        <v>79</v>
      </c>
      <c r="P271" s="27" t="s">
        <v>80</v>
      </c>
      <c r="Q271" s="33">
        <v>1</v>
      </c>
      <c r="R271" s="94" t="s">
        <v>81</v>
      </c>
      <c r="S271" s="34" t="s">
        <v>82</v>
      </c>
      <c r="T271" s="35">
        <v>150000</v>
      </c>
      <c r="U271" s="94" t="s">
        <v>83</v>
      </c>
      <c r="V271" s="36">
        <v>0</v>
      </c>
      <c r="W271" s="36">
        <v>0</v>
      </c>
      <c r="X271" s="36">
        <v>0</v>
      </c>
      <c r="Y271" s="36">
        <v>0</v>
      </c>
      <c r="Z271" s="27">
        <f t="shared" si="19"/>
        <v>150000</v>
      </c>
    </row>
    <row r="272" spans="1:26" ht="109.2">
      <c r="A272" s="95"/>
      <c r="B272" s="27">
        <v>41</v>
      </c>
      <c r="C272" s="107"/>
      <c r="D272" s="101"/>
      <c r="E272" s="27"/>
      <c r="F272" s="27"/>
      <c r="G272" s="101"/>
      <c r="H272" s="27"/>
      <c r="I272" s="27"/>
      <c r="J272" s="27"/>
      <c r="K272" s="31"/>
      <c r="L272" s="27"/>
      <c r="M272" s="27"/>
      <c r="N272" s="27" t="s">
        <v>78</v>
      </c>
      <c r="O272" s="27" t="s">
        <v>79</v>
      </c>
      <c r="P272" s="27" t="s">
        <v>80</v>
      </c>
      <c r="Q272" s="33">
        <v>1</v>
      </c>
      <c r="R272" s="94" t="s">
        <v>81</v>
      </c>
      <c r="S272" s="34" t="s">
        <v>82</v>
      </c>
      <c r="T272" s="35">
        <v>150000</v>
      </c>
      <c r="U272" s="94" t="s">
        <v>83</v>
      </c>
      <c r="V272" s="36">
        <v>0</v>
      </c>
      <c r="W272" s="36">
        <v>0</v>
      </c>
      <c r="X272" s="36">
        <v>0</v>
      </c>
      <c r="Y272" s="36">
        <v>0</v>
      </c>
      <c r="Z272" s="27">
        <f t="shared" si="19"/>
        <v>150000</v>
      </c>
    </row>
    <row r="273" spans="1:26" ht="109.2">
      <c r="A273" s="95"/>
      <c r="B273" s="27">
        <v>42</v>
      </c>
      <c r="C273" s="107"/>
      <c r="D273" s="101"/>
      <c r="E273" s="27"/>
      <c r="F273" s="27"/>
      <c r="G273" s="101"/>
      <c r="H273" s="27"/>
      <c r="I273" s="27"/>
      <c r="J273" s="27"/>
      <c r="K273" s="31"/>
      <c r="L273" s="27"/>
      <c r="M273" s="27"/>
      <c r="N273" s="27" t="s">
        <v>78</v>
      </c>
      <c r="O273" s="27" t="s">
        <v>79</v>
      </c>
      <c r="P273" s="27" t="s">
        <v>80</v>
      </c>
      <c r="Q273" s="33">
        <v>1</v>
      </c>
      <c r="R273" s="94" t="s">
        <v>81</v>
      </c>
      <c r="S273" s="34" t="s">
        <v>82</v>
      </c>
      <c r="T273" s="35">
        <v>150000</v>
      </c>
      <c r="U273" s="94" t="s">
        <v>83</v>
      </c>
      <c r="V273" s="36">
        <v>0</v>
      </c>
      <c r="W273" s="36">
        <v>0</v>
      </c>
      <c r="X273" s="36">
        <v>0</v>
      </c>
      <c r="Y273" s="36">
        <v>0</v>
      </c>
      <c r="Z273" s="27">
        <f t="shared" si="19"/>
        <v>150000</v>
      </c>
    </row>
    <row r="274" spans="1:26" ht="109.2">
      <c r="A274" s="95"/>
      <c r="B274" s="27">
        <v>43</v>
      </c>
      <c r="C274" s="107"/>
      <c r="D274" s="101"/>
      <c r="E274" s="27"/>
      <c r="F274" s="27"/>
      <c r="G274" s="101"/>
      <c r="H274" s="27"/>
      <c r="I274" s="27"/>
      <c r="J274" s="27"/>
      <c r="K274" s="31"/>
      <c r="L274" s="27"/>
      <c r="M274" s="27"/>
      <c r="N274" s="27" t="s">
        <v>78</v>
      </c>
      <c r="O274" s="27" t="s">
        <v>79</v>
      </c>
      <c r="P274" s="27" t="s">
        <v>80</v>
      </c>
      <c r="Q274" s="33">
        <v>1</v>
      </c>
      <c r="R274" s="94" t="s">
        <v>81</v>
      </c>
      <c r="S274" s="34" t="s">
        <v>82</v>
      </c>
      <c r="T274" s="35">
        <v>150000</v>
      </c>
      <c r="U274" s="94" t="s">
        <v>83</v>
      </c>
      <c r="V274" s="36">
        <v>0</v>
      </c>
      <c r="W274" s="36">
        <v>0</v>
      </c>
      <c r="X274" s="36">
        <v>0</v>
      </c>
      <c r="Y274" s="36">
        <v>0</v>
      </c>
      <c r="Z274" s="27">
        <f t="shared" si="19"/>
        <v>150000</v>
      </c>
    </row>
    <row r="275" spans="1:26" ht="109.2">
      <c r="A275" s="95"/>
      <c r="B275" s="27">
        <v>44</v>
      </c>
      <c r="C275" s="107"/>
      <c r="D275" s="101"/>
      <c r="E275" s="27"/>
      <c r="F275" s="27"/>
      <c r="G275" s="101"/>
      <c r="H275" s="27"/>
      <c r="I275" s="27"/>
      <c r="J275" s="27"/>
      <c r="K275" s="31"/>
      <c r="L275" s="27"/>
      <c r="M275" s="27"/>
      <c r="N275" s="27" t="s">
        <v>78</v>
      </c>
      <c r="O275" s="27" t="s">
        <v>79</v>
      </c>
      <c r="P275" s="27" t="s">
        <v>80</v>
      </c>
      <c r="Q275" s="33">
        <v>1</v>
      </c>
      <c r="R275" s="94" t="s">
        <v>81</v>
      </c>
      <c r="S275" s="34" t="s">
        <v>82</v>
      </c>
      <c r="T275" s="35">
        <v>150000</v>
      </c>
      <c r="U275" s="94" t="s">
        <v>83</v>
      </c>
      <c r="V275" s="36">
        <v>0</v>
      </c>
      <c r="W275" s="36">
        <v>0</v>
      </c>
      <c r="X275" s="36">
        <v>0</v>
      </c>
      <c r="Y275" s="36">
        <v>0</v>
      </c>
      <c r="Z275" s="27">
        <f t="shared" si="19"/>
        <v>150000</v>
      </c>
    </row>
    <row r="276" spans="1:26" ht="109.2">
      <c r="A276" s="95"/>
      <c r="B276" s="27">
        <v>45</v>
      </c>
      <c r="C276" s="107"/>
      <c r="D276" s="101"/>
      <c r="E276" s="27"/>
      <c r="F276" s="27"/>
      <c r="G276" s="101"/>
      <c r="H276" s="27"/>
      <c r="I276" s="27"/>
      <c r="J276" s="27"/>
      <c r="K276" s="31"/>
      <c r="L276" s="27"/>
      <c r="M276" s="27"/>
      <c r="N276" s="27" t="s">
        <v>78</v>
      </c>
      <c r="O276" s="27" t="s">
        <v>79</v>
      </c>
      <c r="P276" s="27" t="s">
        <v>80</v>
      </c>
      <c r="Q276" s="33">
        <v>1</v>
      </c>
      <c r="R276" s="94" t="s">
        <v>81</v>
      </c>
      <c r="S276" s="34" t="s">
        <v>82</v>
      </c>
      <c r="T276" s="35">
        <v>150000</v>
      </c>
      <c r="U276" s="94" t="s">
        <v>83</v>
      </c>
      <c r="V276" s="36">
        <v>0</v>
      </c>
      <c r="W276" s="36">
        <v>0</v>
      </c>
      <c r="X276" s="36">
        <v>0</v>
      </c>
      <c r="Y276" s="36">
        <v>0</v>
      </c>
      <c r="Z276" s="27">
        <f t="shared" si="19"/>
        <v>150000</v>
      </c>
    </row>
    <row r="277" spans="1:26" ht="109.2">
      <c r="A277" s="95"/>
      <c r="B277" s="27">
        <v>46</v>
      </c>
      <c r="C277" s="107"/>
      <c r="D277" s="101"/>
      <c r="E277" s="27"/>
      <c r="F277" s="27"/>
      <c r="G277" s="101"/>
      <c r="H277" s="27"/>
      <c r="I277" s="27"/>
      <c r="J277" s="27"/>
      <c r="K277" s="31"/>
      <c r="L277" s="27"/>
      <c r="M277" s="27"/>
      <c r="N277" s="27" t="s">
        <v>78</v>
      </c>
      <c r="O277" s="27" t="s">
        <v>79</v>
      </c>
      <c r="P277" s="27" t="s">
        <v>80</v>
      </c>
      <c r="Q277" s="33">
        <v>1</v>
      </c>
      <c r="R277" s="94" t="s">
        <v>81</v>
      </c>
      <c r="S277" s="34" t="s">
        <v>82</v>
      </c>
      <c r="T277" s="35">
        <v>150000</v>
      </c>
      <c r="U277" s="94" t="s">
        <v>83</v>
      </c>
      <c r="V277" s="36">
        <v>0</v>
      </c>
      <c r="W277" s="36">
        <v>0</v>
      </c>
      <c r="X277" s="36">
        <v>0</v>
      </c>
      <c r="Y277" s="36">
        <v>0</v>
      </c>
      <c r="Z277" s="27">
        <f t="shared" si="19"/>
        <v>150000</v>
      </c>
    </row>
    <row r="278" spans="1:26" ht="109.2">
      <c r="A278" s="95"/>
      <c r="B278" s="27">
        <v>47</v>
      </c>
      <c r="C278" s="107"/>
      <c r="D278" s="101"/>
      <c r="E278" s="27"/>
      <c r="F278" s="27"/>
      <c r="G278" s="101"/>
      <c r="H278" s="27"/>
      <c r="I278" s="27"/>
      <c r="J278" s="27"/>
      <c r="K278" s="31"/>
      <c r="L278" s="27"/>
      <c r="M278" s="27"/>
      <c r="N278" s="27" t="s">
        <v>78</v>
      </c>
      <c r="O278" s="27" t="s">
        <v>79</v>
      </c>
      <c r="P278" s="27" t="s">
        <v>80</v>
      </c>
      <c r="Q278" s="33">
        <v>1</v>
      </c>
      <c r="R278" s="94" t="s">
        <v>81</v>
      </c>
      <c r="S278" s="34" t="s">
        <v>82</v>
      </c>
      <c r="T278" s="35">
        <v>150000</v>
      </c>
      <c r="U278" s="94" t="s">
        <v>83</v>
      </c>
      <c r="V278" s="36">
        <v>0</v>
      </c>
      <c r="W278" s="36">
        <v>0</v>
      </c>
      <c r="X278" s="36">
        <v>0</v>
      </c>
      <c r="Y278" s="36">
        <v>0</v>
      </c>
      <c r="Z278" s="27">
        <f t="shared" si="19"/>
        <v>150000</v>
      </c>
    </row>
    <row r="279" spans="1:26" ht="109.2">
      <c r="A279" s="95"/>
      <c r="B279" s="27">
        <v>48</v>
      </c>
      <c r="C279" s="107"/>
      <c r="D279" s="101"/>
      <c r="E279" s="27"/>
      <c r="F279" s="27"/>
      <c r="G279" s="101"/>
      <c r="H279" s="27"/>
      <c r="I279" s="27"/>
      <c r="J279" s="27"/>
      <c r="K279" s="31"/>
      <c r="L279" s="27"/>
      <c r="M279" s="27"/>
      <c r="N279" s="27" t="s">
        <v>78</v>
      </c>
      <c r="O279" s="27" t="s">
        <v>79</v>
      </c>
      <c r="P279" s="27" t="s">
        <v>80</v>
      </c>
      <c r="Q279" s="33">
        <v>1</v>
      </c>
      <c r="R279" s="94" t="s">
        <v>81</v>
      </c>
      <c r="S279" s="34" t="s">
        <v>82</v>
      </c>
      <c r="T279" s="35">
        <v>150000</v>
      </c>
      <c r="U279" s="94" t="s">
        <v>83</v>
      </c>
      <c r="V279" s="36">
        <v>0</v>
      </c>
      <c r="W279" s="36">
        <v>0</v>
      </c>
      <c r="X279" s="36">
        <v>0</v>
      </c>
      <c r="Y279" s="36">
        <v>0</v>
      </c>
      <c r="Z279" s="27">
        <f t="shared" si="19"/>
        <v>150000</v>
      </c>
    </row>
    <row r="280" spans="1:26" ht="109.2">
      <c r="A280" s="95"/>
      <c r="B280" s="27">
        <v>49</v>
      </c>
      <c r="C280" s="107"/>
      <c r="D280" s="101"/>
      <c r="E280" s="27"/>
      <c r="F280" s="27"/>
      <c r="G280" s="101"/>
      <c r="H280" s="27"/>
      <c r="I280" s="27"/>
      <c r="J280" s="27"/>
      <c r="K280" s="31"/>
      <c r="L280" s="27"/>
      <c r="M280" s="27"/>
      <c r="N280" s="27" t="s">
        <v>78</v>
      </c>
      <c r="O280" s="27" t="s">
        <v>79</v>
      </c>
      <c r="P280" s="27" t="s">
        <v>80</v>
      </c>
      <c r="Q280" s="33">
        <v>1</v>
      </c>
      <c r="R280" s="94" t="s">
        <v>81</v>
      </c>
      <c r="S280" s="34" t="s">
        <v>82</v>
      </c>
      <c r="T280" s="35">
        <v>150000</v>
      </c>
      <c r="U280" s="94" t="s">
        <v>83</v>
      </c>
      <c r="V280" s="36">
        <v>0</v>
      </c>
      <c r="W280" s="36">
        <v>0</v>
      </c>
      <c r="X280" s="36">
        <v>0</v>
      </c>
      <c r="Y280" s="36">
        <v>0</v>
      </c>
      <c r="Z280" s="27">
        <f t="shared" si="19"/>
        <v>150000</v>
      </c>
    </row>
    <row r="281" spans="1:26" ht="109.2">
      <c r="A281" s="95"/>
      <c r="B281" s="27">
        <v>50</v>
      </c>
      <c r="C281" s="107"/>
      <c r="D281" s="101"/>
      <c r="E281" s="27"/>
      <c r="F281" s="27"/>
      <c r="G281" s="101"/>
      <c r="H281" s="27"/>
      <c r="I281" s="27"/>
      <c r="J281" s="27"/>
      <c r="K281" s="31"/>
      <c r="L281" s="27"/>
      <c r="M281" s="27"/>
      <c r="N281" s="27" t="s">
        <v>78</v>
      </c>
      <c r="O281" s="27" t="s">
        <v>79</v>
      </c>
      <c r="P281" s="27" t="s">
        <v>80</v>
      </c>
      <c r="Q281" s="33">
        <v>1</v>
      </c>
      <c r="R281" s="94" t="s">
        <v>81</v>
      </c>
      <c r="S281" s="34" t="s">
        <v>82</v>
      </c>
      <c r="T281" s="35">
        <v>150000</v>
      </c>
      <c r="U281" s="94" t="s">
        <v>83</v>
      </c>
      <c r="V281" s="36">
        <v>0</v>
      </c>
      <c r="W281" s="36">
        <v>0</v>
      </c>
      <c r="X281" s="36">
        <v>0</v>
      </c>
      <c r="Y281" s="36">
        <v>0</v>
      </c>
      <c r="Z281" s="27">
        <f t="shared" si="19"/>
        <v>150000</v>
      </c>
    </row>
    <row r="282" spans="1:26" ht="109.2">
      <c r="A282" s="95"/>
      <c r="B282" s="27">
        <v>51</v>
      </c>
      <c r="C282" s="107"/>
      <c r="D282" s="101"/>
      <c r="E282" s="27"/>
      <c r="F282" s="27"/>
      <c r="G282" s="101"/>
      <c r="H282" s="27"/>
      <c r="I282" s="27"/>
      <c r="J282" s="27"/>
      <c r="K282" s="31"/>
      <c r="L282" s="27"/>
      <c r="M282" s="27"/>
      <c r="N282" s="27" t="s">
        <v>78</v>
      </c>
      <c r="O282" s="27" t="s">
        <v>79</v>
      </c>
      <c r="P282" s="27" t="s">
        <v>80</v>
      </c>
      <c r="Q282" s="33">
        <v>1</v>
      </c>
      <c r="R282" s="94" t="s">
        <v>81</v>
      </c>
      <c r="S282" s="34" t="s">
        <v>82</v>
      </c>
      <c r="T282" s="35">
        <v>150000</v>
      </c>
      <c r="U282" s="94" t="s">
        <v>83</v>
      </c>
      <c r="V282" s="36">
        <v>0</v>
      </c>
      <c r="W282" s="36">
        <v>0</v>
      </c>
      <c r="X282" s="36">
        <v>0</v>
      </c>
      <c r="Y282" s="36">
        <v>0</v>
      </c>
      <c r="Z282" s="27">
        <f t="shared" si="19"/>
        <v>150000</v>
      </c>
    </row>
    <row r="283" spans="1:26" ht="15.6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9" t="s">
        <v>42</v>
      </c>
      <c r="L283" s="39">
        <f>SUM(L232)</f>
        <v>0</v>
      </c>
      <c r="M283" s="38"/>
      <c r="N283" s="38"/>
      <c r="O283" s="38"/>
      <c r="P283" s="38"/>
      <c r="Q283" s="38"/>
      <c r="R283" s="38"/>
      <c r="S283" s="38" t="s">
        <v>43</v>
      </c>
      <c r="T283" s="41">
        <f>AVERAGE(T232:T282)</f>
        <v>183823.5294117647</v>
      </c>
      <c r="U283" s="38"/>
      <c r="V283" s="42">
        <f t="shared" ref="V283:Y283" si="20">AVERAGEA(V232)</f>
        <v>0</v>
      </c>
      <c r="W283" s="42">
        <f t="shared" si="20"/>
        <v>0</v>
      </c>
      <c r="X283" s="42">
        <f t="shared" si="20"/>
        <v>0</v>
      </c>
      <c r="Y283" s="42">
        <f t="shared" si="20"/>
        <v>0</v>
      </c>
      <c r="Z283" s="38">
        <f t="shared" si="19"/>
        <v>183823.5294117647</v>
      </c>
    </row>
    <row r="284" spans="1:26" ht="15.6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5.6">
      <c r="A285" s="96"/>
      <c r="B285" s="96"/>
      <c r="C285" s="96"/>
      <c r="D285" s="3" t="str">
        <f>CONCATENATE('[1]1. SH,Input dan Outcome'!C8)</f>
        <v>Trainer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2" thickBot="1">
      <c r="A286" s="86" t="s">
        <v>59</v>
      </c>
      <c r="B286" s="87"/>
      <c r="C286" s="88"/>
      <c r="D286" s="89" t="str">
        <f>CONCATENATE('[1]1. SH,Input dan Outcome'!D23)</f>
        <v>5.A. Peningkatan pendapatan akibat adanya pelatihan</v>
      </c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6.2" thickBot="1">
      <c r="A287" s="7" t="s">
        <v>2</v>
      </c>
      <c r="B287" s="90"/>
      <c r="C287" s="91"/>
      <c r="D287" s="92" t="s">
        <v>3</v>
      </c>
      <c r="E287" s="6"/>
      <c r="F287" s="6"/>
      <c r="G287" s="6"/>
      <c r="H287" s="6"/>
      <c r="I287" s="6"/>
      <c r="J287" s="6"/>
      <c r="K287" s="6"/>
      <c r="L287" s="6"/>
      <c r="M287" s="6"/>
      <c r="N287" s="92" t="s">
        <v>4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93"/>
    </row>
    <row r="288" spans="1:26" ht="118.8">
      <c r="A288" s="61" t="s">
        <v>2</v>
      </c>
      <c r="B288" s="13" t="s">
        <v>5</v>
      </c>
      <c r="C288" s="13" t="s">
        <v>6</v>
      </c>
      <c r="D288" s="14" t="s">
        <v>7</v>
      </c>
      <c r="E288" s="15" t="s">
        <v>8</v>
      </c>
      <c r="F288" s="14" t="s">
        <v>9</v>
      </c>
      <c r="G288" s="15" t="s">
        <v>10</v>
      </c>
      <c r="H288" s="15" t="s">
        <v>11</v>
      </c>
      <c r="I288" s="15" t="s">
        <v>12</v>
      </c>
      <c r="J288" s="14" t="s">
        <v>13</v>
      </c>
      <c r="K288" s="62" t="s">
        <v>14</v>
      </c>
      <c r="L288" s="63" t="s">
        <v>15</v>
      </c>
      <c r="M288" s="63" t="s">
        <v>16</v>
      </c>
      <c r="N288" s="18" t="s">
        <v>17</v>
      </c>
      <c r="O288" s="19" t="s">
        <v>18</v>
      </c>
      <c r="P288" s="19" t="s">
        <v>19</v>
      </c>
      <c r="Q288" s="19" t="s">
        <v>20</v>
      </c>
      <c r="R288" s="19" t="s">
        <v>21</v>
      </c>
      <c r="S288" s="20" t="s">
        <v>22</v>
      </c>
      <c r="T288" s="21" t="s">
        <v>23</v>
      </c>
      <c r="U288" s="20" t="s">
        <v>24</v>
      </c>
      <c r="V288" s="64" t="s">
        <v>25</v>
      </c>
      <c r="W288" s="64" t="s">
        <v>26</v>
      </c>
      <c r="X288" s="64" t="s">
        <v>27</v>
      </c>
      <c r="Y288" s="64" t="s">
        <v>28</v>
      </c>
      <c r="Z288" s="23" t="s">
        <v>29</v>
      </c>
    </row>
    <row r="289" spans="1:26" ht="187.2">
      <c r="A289" s="76"/>
      <c r="B289" s="27">
        <v>1</v>
      </c>
      <c r="C289" s="109" t="s">
        <v>70</v>
      </c>
      <c r="D289" s="101" t="s">
        <v>31</v>
      </c>
      <c r="E289" s="27">
        <v>29</v>
      </c>
      <c r="F289" s="109" t="s">
        <v>71</v>
      </c>
      <c r="G289" s="101"/>
      <c r="H289" s="27" t="s">
        <v>63</v>
      </c>
      <c r="I289" s="109" t="s">
        <v>72</v>
      </c>
      <c r="J289" s="66" t="s">
        <v>35</v>
      </c>
      <c r="K289" s="51" t="s">
        <v>36</v>
      </c>
      <c r="L289" s="81">
        <v>0</v>
      </c>
      <c r="M289" s="27">
        <v>1</v>
      </c>
      <c r="N289" s="31" t="s">
        <v>101</v>
      </c>
      <c r="O289" s="31" t="s">
        <v>102</v>
      </c>
      <c r="P289" s="31" t="s">
        <v>103</v>
      </c>
      <c r="Q289" s="34">
        <v>1</v>
      </c>
      <c r="R289" s="94" t="s">
        <v>81</v>
      </c>
      <c r="S289" s="34" t="s">
        <v>104</v>
      </c>
      <c r="T289" s="110">
        <v>3000000</v>
      </c>
      <c r="U289" s="94" t="s">
        <v>105</v>
      </c>
      <c r="V289" s="36">
        <v>0</v>
      </c>
      <c r="W289" s="36">
        <v>0</v>
      </c>
      <c r="X289" s="36">
        <v>0</v>
      </c>
      <c r="Y289" s="36">
        <v>0</v>
      </c>
      <c r="Z289" s="27">
        <f t="shared" ref="Z289:Z291" si="21">T289*(1-V289)*(1-W289)*(1-X289)*(1-Y289)</f>
        <v>3000000</v>
      </c>
    </row>
    <row r="290" spans="1:26" ht="187.2">
      <c r="A290" s="38"/>
      <c r="B290" s="27">
        <v>2</v>
      </c>
      <c r="C290" s="109" t="s">
        <v>106</v>
      </c>
      <c r="D290" s="101" t="s">
        <v>31</v>
      </c>
      <c r="E290" s="27">
        <v>29</v>
      </c>
      <c r="F290" s="109" t="s">
        <v>71</v>
      </c>
      <c r="G290" s="101"/>
      <c r="H290" s="27" t="s">
        <v>63</v>
      </c>
      <c r="I290" s="109" t="s">
        <v>72</v>
      </c>
      <c r="J290" s="66" t="s">
        <v>35</v>
      </c>
      <c r="K290" s="51" t="s">
        <v>36</v>
      </c>
      <c r="L290" s="81">
        <v>0</v>
      </c>
      <c r="M290" s="27">
        <v>1</v>
      </c>
      <c r="N290" s="31" t="s">
        <v>101</v>
      </c>
      <c r="O290" s="31" t="s">
        <v>102</v>
      </c>
      <c r="P290" s="31" t="s">
        <v>103</v>
      </c>
      <c r="Q290" s="34">
        <v>1</v>
      </c>
      <c r="R290" s="94" t="s">
        <v>81</v>
      </c>
      <c r="S290" s="34" t="s">
        <v>104</v>
      </c>
      <c r="T290" s="110">
        <v>3000000</v>
      </c>
      <c r="U290" s="94" t="s">
        <v>105</v>
      </c>
      <c r="V290" s="36">
        <v>0</v>
      </c>
      <c r="W290" s="36">
        <v>0</v>
      </c>
      <c r="X290" s="36">
        <v>0</v>
      </c>
      <c r="Y290" s="36">
        <v>0</v>
      </c>
      <c r="Z290" s="27">
        <f t="shared" si="21"/>
        <v>3000000</v>
      </c>
    </row>
    <row r="291" spans="1:26" ht="15.6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48" t="s">
        <v>42</v>
      </c>
      <c r="L291" s="48">
        <f>SUM(L289)</f>
        <v>0</v>
      </c>
      <c r="M291" s="38"/>
      <c r="N291" s="38"/>
      <c r="O291" s="38"/>
      <c r="P291" s="38"/>
      <c r="Q291" s="38"/>
      <c r="R291" s="38"/>
      <c r="S291" s="38" t="s">
        <v>43</v>
      </c>
      <c r="T291" s="41">
        <f>AVERAGE(T289)</f>
        <v>3000000</v>
      </c>
      <c r="U291" s="38"/>
      <c r="V291" s="42">
        <f t="shared" ref="V291:Y291" si="22">AVERAGEA(V289)</f>
        <v>0</v>
      </c>
      <c r="W291" s="42">
        <f t="shared" si="22"/>
        <v>0</v>
      </c>
      <c r="X291" s="42">
        <f t="shared" si="22"/>
        <v>0</v>
      </c>
      <c r="Y291" s="42">
        <f t="shared" si="22"/>
        <v>0</v>
      </c>
      <c r="Z291" s="38">
        <f t="shared" si="21"/>
        <v>3000000</v>
      </c>
    </row>
    <row r="292" spans="1:26" ht="15.6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6.2" thickBot="1">
      <c r="A293" s="86" t="s">
        <v>59</v>
      </c>
      <c r="B293" s="87"/>
      <c r="C293" s="88"/>
      <c r="D293" s="89" t="str">
        <f>CONCATENATE('[1]1. SH,Input dan Outcome'!D24)</f>
        <v>5.B. Peningkatan reputasi (portofolio) dan kesempatan bekerja</v>
      </c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6.2" thickBot="1">
      <c r="A294" s="7" t="s">
        <v>2</v>
      </c>
      <c r="B294" s="90"/>
      <c r="C294" s="91"/>
      <c r="D294" s="92" t="s">
        <v>3</v>
      </c>
      <c r="E294" s="6"/>
      <c r="F294" s="6"/>
      <c r="G294" s="6"/>
      <c r="H294" s="6"/>
      <c r="I294" s="6"/>
      <c r="J294" s="6"/>
      <c r="K294" s="6"/>
      <c r="L294" s="6"/>
      <c r="M294" s="6"/>
      <c r="N294" s="92" t="s">
        <v>4</v>
      </c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93"/>
    </row>
    <row r="295" spans="1:26" ht="118.8">
      <c r="A295" s="61" t="s">
        <v>2</v>
      </c>
      <c r="B295" s="13" t="s">
        <v>5</v>
      </c>
      <c r="C295" s="13" t="s">
        <v>6</v>
      </c>
      <c r="D295" s="14" t="s">
        <v>7</v>
      </c>
      <c r="E295" s="15" t="s">
        <v>8</v>
      </c>
      <c r="F295" s="14" t="s">
        <v>9</v>
      </c>
      <c r="G295" s="15" t="s">
        <v>10</v>
      </c>
      <c r="H295" s="15" t="s">
        <v>11</v>
      </c>
      <c r="I295" s="15" t="s">
        <v>12</v>
      </c>
      <c r="J295" s="14" t="s">
        <v>13</v>
      </c>
      <c r="K295" s="62" t="s">
        <v>14</v>
      </c>
      <c r="L295" s="63" t="s">
        <v>15</v>
      </c>
      <c r="M295" s="63" t="s">
        <v>16</v>
      </c>
      <c r="N295" s="18" t="s">
        <v>17</v>
      </c>
      <c r="O295" s="19" t="s">
        <v>18</v>
      </c>
      <c r="P295" s="19" t="s">
        <v>19</v>
      </c>
      <c r="Q295" s="19" t="s">
        <v>20</v>
      </c>
      <c r="R295" s="19" t="s">
        <v>21</v>
      </c>
      <c r="S295" s="20" t="s">
        <v>22</v>
      </c>
      <c r="T295" s="21" t="s">
        <v>23</v>
      </c>
      <c r="U295" s="20" t="s">
        <v>24</v>
      </c>
      <c r="V295" s="64" t="s">
        <v>25</v>
      </c>
      <c r="W295" s="64" t="s">
        <v>26</v>
      </c>
      <c r="X295" s="64" t="s">
        <v>27</v>
      </c>
      <c r="Y295" s="64" t="s">
        <v>28</v>
      </c>
      <c r="Z295" s="23" t="s">
        <v>29</v>
      </c>
    </row>
    <row r="296" spans="1:26" ht="109.2">
      <c r="A296" s="76"/>
      <c r="B296" s="27">
        <v>1</v>
      </c>
      <c r="C296" s="109" t="s">
        <v>70</v>
      </c>
      <c r="D296" s="101" t="s">
        <v>31</v>
      </c>
      <c r="E296" s="27">
        <v>29</v>
      </c>
      <c r="F296" s="109" t="s">
        <v>71</v>
      </c>
      <c r="G296" s="101"/>
      <c r="H296" s="27" t="s">
        <v>63</v>
      </c>
      <c r="I296" s="109" t="s">
        <v>72</v>
      </c>
      <c r="J296" s="66" t="s">
        <v>35</v>
      </c>
      <c r="K296" s="31" t="s">
        <v>36</v>
      </c>
      <c r="L296" s="27">
        <v>0</v>
      </c>
      <c r="M296" s="27">
        <v>1</v>
      </c>
      <c r="N296" s="27" t="s">
        <v>107</v>
      </c>
      <c r="O296" s="27" t="s">
        <v>108</v>
      </c>
      <c r="P296" s="27" t="s">
        <v>109</v>
      </c>
      <c r="Q296" s="33">
        <v>1</v>
      </c>
      <c r="R296" s="94" t="s">
        <v>81</v>
      </c>
      <c r="S296" s="34" t="s">
        <v>110</v>
      </c>
      <c r="T296" s="111">
        <f t="shared" ref="T296:T297" si="23">960000*2</f>
        <v>1920000</v>
      </c>
      <c r="U296" s="94" t="s">
        <v>105</v>
      </c>
      <c r="V296" s="36">
        <v>0</v>
      </c>
      <c r="W296" s="36">
        <v>0</v>
      </c>
      <c r="X296" s="36">
        <v>0</v>
      </c>
      <c r="Y296" s="36">
        <v>0</v>
      </c>
      <c r="Z296" s="27">
        <f t="shared" ref="Z296:Z298" si="24">T296*(1-V296)*(1-W296)*(1-X296)*(1-Y296)</f>
        <v>1920000</v>
      </c>
    </row>
    <row r="297" spans="1:26" ht="109.2">
      <c r="A297" s="38"/>
      <c r="B297" s="27">
        <v>2</v>
      </c>
      <c r="C297" s="109" t="s">
        <v>106</v>
      </c>
      <c r="D297" s="101" t="s">
        <v>31</v>
      </c>
      <c r="E297" s="27">
        <v>29</v>
      </c>
      <c r="F297" s="109" t="s">
        <v>71</v>
      </c>
      <c r="G297" s="101"/>
      <c r="H297" s="27" t="s">
        <v>63</v>
      </c>
      <c r="I297" s="109" t="s">
        <v>72</v>
      </c>
      <c r="J297" s="66" t="s">
        <v>35</v>
      </c>
      <c r="K297" s="51" t="s">
        <v>36</v>
      </c>
      <c r="L297" s="81">
        <v>0</v>
      </c>
      <c r="M297" s="27">
        <v>1</v>
      </c>
      <c r="N297" s="27" t="s">
        <v>107</v>
      </c>
      <c r="O297" s="27" t="s">
        <v>108</v>
      </c>
      <c r="P297" s="27" t="s">
        <v>109</v>
      </c>
      <c r="Q297" s="33">
        <v>1</v>
      </c>
      <c r="R297" s="94" t="s">
        <v>81</v>
      </c>
      <c r="S297" s="34" t="s">
        <v>110</v>
      </c>
      <c r="T297" s="110">
        <f t="shared" si="23"/>
        <v>1920000</v>
      </c>
      <c r="U297" s="94" t="s">
        <v>105</v>
      </c>
      <c r="V297" s="36">
        <v>0</v>
      </c>
      <c r="W297" s="36">
        <v>0</v>
      </c>
      <c r="X297" s="36">
        <v>0</v>
      </c>
      <c r="Y297" s="36">
        <v>0</v>
      </c>
      <c r="Z297" s="27">
        <f t="shared" si="24"/>
        <v>1920000</v>
      </c>
    </row>
    <row r="298" spans="1:26" ht="15.6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9" t="s">
        <v>42</v>
      </c>
      <c r="L298" s="39">
        <f>SUM(L296)</f>
        <v>0</v>
      </c>
      <c r="M298" s="38"/>
      <c r="N298" s="38"/>
      <c r="O298" s="38"/>
      <c r="P298" s="38"/>
      <c r="Q298" s="38"/>
      <c r="R298" s="38"/>
      <c r="S298" s="38" t="s">
        <v>43</v>
      </c>
      <c r="T298" s="41">
        <f>AVERAGE(T296)</f>
        <v>1920000</v>
      </c>
      <c r="U298" s="38"/>
      <c r="V298" s="42">
        <f t="shared" ref="V298:Y298" si="25">AVERAGEA(V296)</f>
        <v>0</v>
      </c>
      <c r="W298" s="42">
        <f t="shared" si="25"/>
        <v>0</v>
      </c>
      <c r="X298" s="42">
        <f t="shared" si="25"/>
        <v>0</v>
      </c>
      <c r="Y298" s="42">
        <f t="shared" si="25"/>
        <v>0</v>
      </c>
      <c r="Z298" s="38">
        <f t="shared" si="24"/>
        <v>1920000</v>
      </c>
    </row>
    <row r="299" spans="1:26" ht="15.6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6.2" thickBot="1">
      <c r="A300" s="86" t="s">
        <v>59</v>
      </c>
      <c r="B300" s="87"/>
      <c r="C300" s="88"/>
      <c r="D300" s="89" t="str">
        <f>CONCATENATE('[1]1. SH,Input dan Outcome'!D25)</f>
        <v xml:space="preserve">5.C. Peningkatan kapasitas trainer dari pelatihan ToT </v>
      </c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6.2" thickBot="1">
      <c r="A301" s="7" t="s">
        <v>2</v>
      </c>
      <c r="B301" s="90"/>
      <c r="C301" s="91"/>
      <c r="D301" s="92" t="s">
        <v>3</v>
      </c>
      <c r="E301" s="6"/>
      <c r="F301" s="6"/>
      <c r="G301" s="6"/>
      <c r="H301" s="6"/>
      <c r="I301" s="6"/>
      <c r="J301" s="6"/>
      <c r="K301" s="6"/>
      <c r="L301" s="6"/>
      <c r="M301" s="6"/>
      <c r="N301" s="92" t="s">
        <v>4</v>
      </c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93"/>
    </row>
    <row r="302" spans="1:26" ht="118.8">
      <c r="A302" s="61" t="s">
        <v>2</v>
      </c>
      <c r="B302" s="13" t="s">
        <v>5</v>
      </c>
      <c r="C302" s="13" t="s">
        <v>6</v>
      </c>
      <c r="D302" s="14" t="s">
        <v>7</v>
      </c>
      <c r="E302" s="15" t="s">
        <v>8</v>
      </c>
      <c r="F302" s="14" t="s">
        <v>9</v>
      </c>
      <c r="G302" s="15" t="s">
        <v>10</v>
      </c>
      <c r="H302" s="15" t="s">
        <v>11</v>
      </c>
      <c r="I302" s="15" t="s">
        <v>12</v>
      </c>
      <c r="J302" s="14" t="s">
        <v>13</v>
      </c>
      <c r="K302" s="62" t="s">
        <v>14</v>
      </c>
      <c r="L302" s="63" t="s">
        <v>15</v>
      </c>
      <c r="M302" s="63" t="s">
        <v>16</v>
      </c>
      <c r="N302" s="18" t="s">
        <v>17</v>
      </c>
      <c r="O302" s="19" t="s">
        <v>18</v>
      </c>
      <c r="P302" s="19" t="s">
        <v>19</v>
      </c>
      <c r="Q302" s="19" t="s">
        <v>20</v>
      </c>
      <c r="R302" s="19" t="s">
        <v>21</v>
      </c>
      <c r="S302" s="20" t="s">
        <v>22</v>
      </c>
      <c r="T302" s="21" t="s">
        <v>23</v>
      </c>
      <c r="U302" s="20" t="s">
        <v>24</v>
      </c>
      <c r="V302" s="64" t="s">
        <v>25</v>
      </c>
      <c r="W302" s="64" t="s">
        <v>26</v>
      </c>
      <c r="X302" s="64" t="s">
        <v>27</v>
      </c>
      <c r="Y302" s="64" t="s">
        <v>28</v>
      </c>
      <c r="Z302" s="23" t="s">
        <v>29</v>
      </c>
    </row>
    <row r="303" spans="1:26" ht="109.2">
      <c r="A303" s="76"/>
      <c r="B303" s="27">
        <v>1</v>
      </c>
      <c r="C303" s="109" t="s">
        <v>70</v>
      </c>
      <c r="D303" s="101" t="s">
        <v>31</v>
      </c>
      <c r="E303" s="27">
        <v>29</v>
      </c>
      <c r="F303" s="109" t="s">
        <v>71</v>
      </c>
      <c r="G303" s="101"/>
      <c r="H303" s="27" t="s">
        <v>63</v>
      </c>
      <c r="I303" s="109" t="s">
        <v>72</v>
      </c>
      <c r="J303" s="66" t="s">
        <v>35</v>
      </c>
      <c r="K303" s="31" t="s">
        <v>36</v>
      </c>
      <c r="L303" s="27">
        <v>0</v>
      </c>
      <c r="M303" s="27">
        <v>1</v>
      </c>
      <c r="N303" s="27" t="s">
        <v>111</v>
      </c>
      <c r="O303" s="27" t="s">
        <v>112</v>
      </c>
      <c r="P303" s="27" t="s">
        <v>113</v>
      </c>
      <c r="Q303" s="33">
        <v>1</v>
      </c>
      <c r="R303" s="94" t="s">
        <v>81</v>
      </c>
      <c r="S303" s="34" t="s">
        <v>114</v>
      </c>
      <c r="T303" s="110">
        <v>4200000</v>
      </c>
      <c r="U303" s="94" t="s">
        <v>115</v>
      </c>
      <c r="V303" s="36">
        <v>0</v>
      </c>
      <c r="W303" s="36">
        <v>0</v>
      </c>
      <c r="X303" s="36">
        <v>0</v>
      </c>
      <c r="Y303" s="36">
        <v>0</v>
      </c>
      <c r="Z303" s="27">
        <f t="shared" ref="Z303:Z305" si="26">T303*(1-V303)*(1-W303)*(1-X303)*(1-Y303)</f>
        <v>4200000</v>
      </c>
    </row>
    <row r="304" spans="1:26" ht="109.2">
      <c r="A304" s="38"/>
      <c r="B304" s="27">
        <v>2</v>
      </c>
      <c r="C304" s="109" t="s">
        <v>106</v>
      </c>
      <c r="D304" s="101" t="s">
        <v>31</v>
      </c>
      <c r="E304" s="27">
        <v>29</v>
      </c>
      <c r="F304" s="109" t="s">
        <v>71</v>
      </c>
      <c r="G304" s="101"/>
      <c r="H304" s="27" t="s">
        <v>63</v>
      </c>
      <c r="I304" s="109" t="s">
        <v>72</v>
      </c>
      <c r="J304" s="66" t="s">
        <v>35</v>
      </c>
      <c r="K304" s="51" t="s">
        <v>36</v>
      </c>
      <c r="L304" s="81">
        <v>0</v>
      </c>
      <c r="M304" s="27">
        <v>1</v>
      </c>
      <c r="N304" s="27" t="s">
        <v>111</v>
      </c>
      <c r="O304" s="27" t="s">
        <v>112</v>
      </c>
      <c r="P304" s="27" t="s">
        <v>113</v>
      </c>
      <c r="Q304" s="33">
        <v>1</v>
      </c>
      <c r="R304" s="94" t="s">
        <v>81</v>
      </c>
      <c r="S304" s="34" t="s">
        <v>114</v>
      </c>
      <c r="T304" s="110">
        <v>4200000</v>
      </c>
      <c r="U304" s="94" t="s">
        <v>115</v>
      </c>
      <c r="V304" s="36">
        <v>0</v>
      </c>
      <c r="W304" s="36">
        <v>0</v>
      </c>
      <c r="X304" s="36">
        <v>0</v>
      </c>
      <c r="Y304" s="36">
        <v>0</v>
      </c>
      <c r="Z304" s="27">
        <f t="shared" si="26"/>
        <v>4200000</v>
      </c>
    </row>
    <row r="305" spans="1:26" ht="15.6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9" t="s">
        <v>42</v>
      </c>
      <c r="L305" s="39">
        <f>SUM(L303)</f>
        <v>0</v>
      </c>
      <c r="M305" s="38"/>
      <c r="N305" s="38"/>
      <c r="O305" s="38"/>
      <c r="P305" s="38"/>
      <c r="Q305" s="38"/>
      <c r="R305" s="38"/>
      <c r="S305" s="38" t="s">
        <v>43</v>
      </c>
      <c r="T305" s="41">
        <f>AVERAGE(T303)</f>
        <v>4200000</v>
      </c>
      <c r="U305" s="38"/>
      <c r="V305" s="42">
        <f t="shared" ref="V305:Y305" si="27">AVERAGEA(V303)</f>
        <v>0</v>
      </c>
      <c r="W305" s="42">
        <f t="shared" si="27"/>
        <v>0</v>
      </c>
      <c r="X305" s="42">
        <f t="shared" si="27"/>
        <v>0</v>
      </c>
      <c r="Y305" s="42">
        <f t="shared" si="27"/>
        <v>0</v>
      </c>
      <c r="Z305" s="38">
        <f t="shared" si="26"/>
        <v>4200000</v>
      </c>
    </row>
    <row r="306" spans="1:26" ht="15.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3"/>
      <c r="L306" s="113"/>
      <c r="M306" s="112"/>
      <c r="N306" s="112"/>
      <c r="O306" s="112"/>
      <c r="P306" s="112"/>
      <c r="Q306" s="112"/>
      <c r="R306" s="112"/>
      <c r="S306" s="112"/>
      <c r="T306" s="114"/>
      <c r="U306" s="112"/>
      <c r="V306" s="115"/>
      <c r="W306" s="115"/>
      <c r="X306" s="115"/>
      <c r="Y306" s="115"/>
      <c r="Z306" s="112"/>
    </row>
    <row r="307" spans="1:26" ht="15.6">
      <c r="A307" s="96"/>
      <c r="B307" s="96"/>
      <c r="C307" s="96"/>
      <c r="D307" s="3" t="str">
        <f>CONCATENATE('[1]1. SH,Input dan Outcome'!C9)</f>
        <v>Peserta Pelatihan Hospitality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2" thickBot="1">
      <c r="A308" s="86" t="s">
        <v>59</v>
      </c>
      <c r="B308" s="87"/>
      <c r="C308" s="88"/>
      <c r="D308" s="89" t="str">
        <f>CONCATENATE('[1]1. SH,Input dan Outcome'!D26)</f>
        <v>6.A. Peningkatan kapasitas peserta terkait hospitality</v>
      </c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6.2" thickBot="1">
      <c r="A309" s="7" t="s">
        <v>2</v>
      </c>
      <c r="B309" s="90"/>
      <c r="C309" s="91"/>
      <c r="D309" s="92" t="s">
        <v>3</v>
      </c>
      <c r="E309" s="6"/>
      <c r="F309" s="6"/>
      <c r="G309" s="6"/>
      <c r="H309" s="6"/>
      <c r="I309" s="6"/>
      <c r="J309" s="6"/>
      <c r="K309" s="6"/>
      <c r="L309" s="6"/>
      <c r="M309" s="6"/>
      <c r="N309" s="92" t="s">
        <v>4</v>
      </c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93"/>
    </row>
    <row r="310" spans="1:26" ht="118.8">
      <c r="A310" s="61" t="s">
        <v>2</v>
      </c>
      <c r="B310" s="13" t="s">
        <v>5</v>
      </c>
      <c r="C310" s="13" t="s">
        <v>6</v>
      </c>
      <c r="D310" s="14" t="s">
        <v>7</v>
      </c>
      <c r="E310" s="15" t="s">
        <v>8</v>
      </c>
      <c r="F310" s="14" t="s">
        <v>9</v>
      </c>
      <c r="G310" s="15" t="s">
        <v>10</v>
      </c>
      <c r="H310" s="15" t="s">
        <v>11</v>
      </c>
      <c r="I310" s="15" t="s">
        <v>12</v>
      </c>
      <c r="J310" s="14" t="s">
        <v>13</v>
      </c>
      <c r="K310" s="62" t="s">
        <v>14</v>
      </c>
      <c r="L310" s="63" t="s">
        <v>15</v>
      </c>
      <c r="M310" s="63" t="s">
        <v>16</v>
      </c>
      <c r="N310" s="18" t="s">
        <v>17</v>
      </c>
      <c r="O310" s="19" t="s">
        <v>18</v>
      </c>
      <c r="P310" s="19" t="s">
        <v>19</v>
      </c>
      <c r="Q310" s="19" t="s">
        <v>20</v>
      </c>
      <c r="R310" s="19" t="s">
        <v>21</v>
      </c>
      <c r="S310" s="20" t="s">
        <v>22</v>
      </c>
      <c r="T310" s="21" t="s">
        <v>23</v>
      </c>
      <c r="U310" s="20" t="s">
        <v>24</v>
      </c>
      <c r="V310" s="64" t="s">
        <v>25</v>
      </c>
      <c r="W310" s="64" t="s">
        <v>26</v>
      </c>
      <c r="X310" s="64" t="s">
        <v>27</v>
      </c>
      <c r="Y310" s="64" t="s">
        <v>28</v>
      </c>
      <c r="Z310" s="23" t="s">
        <v>29</v>
      </c>
    </row>
    <row r="311" spans="1:26" ht="109.2">
      <c r="A311" s="76"/>
      <c r="B311" s="27">
        <v>1</v>
      </c>
      <c r="C311" s="116" t="s">
        <v>116</v>
      </c>
      <c r="D311" s="101" t="s">
        <v>31</v>
      </c>
      <c r="E311" s="117">
        <v>24</v>
      </c>
      <c r="F311" s="118" t="s">
        <v>117</v>
      </c>
      <c r="G311" s="119" t="s">
        <v>118</v>
      </c>
      <c r="H311" s="27" t="s">
        <v>33</v>
      </c>
      <c r="I311" s="118" t="s">
        <v>119</v>
      </c>
      <c r="J311" s="66" t="s">
        <v>120</v>
      </c>
      <c r="K311" s="31" t="s">
        <v>36</v>
      </c>
      <c r="L311" s="27"/>
      <c r="M311" s="120">
        <v>1</v>
      </c>
      <c r="N311" s="121" t="s">
        <v>121</v>
      </c>
      <c r="O311" s="121" t="s">
        <v>122</v>
      </c>
      <c r="P311" s="121" t="s">
        <v>123</v>
      </c>
      <c r="Q311" s="122">
        <v>1</v>
      </c>
      <c r="R311" s="94" t="s">
        <v>81</v>
      </c>
      <c r="S311" s="123" t="s">
        <v>124</v>
      </c>
      <c r="T311" s="124">
        <v>300000</v>
      </c>
      <c r="U311" s="125"/>
      <c r="V311" s="36">
        <v>0.75</v>
      </c>
      <c r="W311" s="36">
        <v>0</v>
      </c>
      <c r="X311" s="36">
        <v>0</v>
      </c>
      <c r="Y311" s="36">
        <v>0</v>
      </c>
      <c r="Z311" s="126">
        <f t="shared" ref="Z311:Z353" si="28">T311*(1-V311)*(1-W311)*(1-X311)*(1-Y311)</f>
        <v>75000</v>
      </c>
    </row>
    <row r="312" spans="1:26" ht="62.4">
      <c r="A312" s="38"/>
      <c r="B312" s="27">
        <v>2</v>
      </c>
      <c r="C312" s="127" t="s">
        <v>125</v>
      </c>
      <c r="D312" s="101" t="s">
        <v>31</v>
      </c>
      <c r="E312" s="128">
        <v>34</v>
      </c>
      <c r="F312" s="129" t="s">
        <v>126</v>
      </c>
      <c r="G312" s="130" t="s">
        <v>127</v>
      </c>
      <c r="H312" s="131" t="s">
        <v>128</v>
      </c>
      <c r="I312" s="129" t="s">
        <v>129</v>
      </c>
      <c r="J312" s="66" t="s">
        <v>35</v>
      </c>
      <c r="K312" s="132" t="s">
        <v>54</v>
      </c>
      <c r="L312" s="133">
        <f>'[1]1. SH,Input dan Outcome'!I291</f>
        <v>0</v>
      </c>
      <c r="M312" s="120">
        <v>1</v>
      </c>
      <c r="N312" s="121" t="s">
        <v>121</v>
      </c>
      <c r="O312" s="121" t="s">
        <v>122</v>
      </c>
      <c r="P312" s="121" t="s">
        <v>123</v>
      </c>
      <c r="Q312" s="122">
        <v>1</v>
      </c>
      <c r="R312" s="134" t="s">
        <v>53</v>
      </c>
      <c r="S312" s="123" t="s">
        <v>124</v>
      </c>
      <c r="T312" s="124">
        <v>200000</v>
      </c>
      <c r="U312" s="125"/>
      <c r="V312" s="36">
        <v>0.75</v>
      </c>
      <c r="W312" s="135">
        <v>0</v>
      </c>
      <c r="X312" s="135">
        <v>0</v>
      </c>
      <c r="Y312" s="135">
        <v>0</v>
      </c>
      <c r="Z312" s="126">
        <f t="shared" si="28"/>
        <v>50000</v>
      </c>
    </row>
    <row r="313" spans="1:26" ht="62.4">
      <c r="A313" s="38"/>
      <c r="B313" s="27">
        <v>3</v>
      </c>
      <c r="C313" s="116" t="s">
        <v>130</v>
      </c>
      <c r="D313" s="101" t="s">
        <v>49</v>
      </c>
      <c r="E313" s="117">
        <v>36</v>
      </c>
      <c r="F313" s="118" t="s">
        <v>131</v>
      </c>
      <c r="G313" s="119" t="s">
        <v>132</v>
      </c>
      <c r="H313" s="131" t="s">
        <v>128</v>
      </c>
      <c r="I313" s="118" t="s">
        <v>119</v>
      </c>
      <c r="J313" s="66" t="s">
        <v>52</v>
      </c>
      <c r="K313" s="132" t="s">
        <v>54</v>
      </c>
      <c r="L313" s="133">
        <f>'[1]1. SH,Input dan Outcome'!I292</f>
        <v>0</v>
      </c>
      <c r="M313" s="120">
        <v>1</v>
      </c>
      <c r="N313" s="121" t="s">
        <v>121</v>
      </c>
      <c r="O313" s="121" t="s">
        <v>122</v>
      </c>
      <c r="P313" s="121" t="s">
        <v>123</v>
      </c>
      <c r="Q313" s="122">
        <v>1</v>
      </c>
      <c r="R313" s="134" t="s">
        <v>53</v>
      </c>
      <c r="S313" s="123" t="s">
        <v>124</v>
      </c>
      <c r="T313" s="124">
        <v>200000</v>
      </c>
      <c r="U313" s="125"/>
      <c r="V313" s="36">
        <v>0.75</v>
      </c>
      <c r="W313" s="135">
        <v>0</v>
      </c>
      <c r="X313" s="135">
        <v>0</v>
      </c>
      <c r="Y313" s="135">
        <v>0</v>
      </c>
      <c r="Z313" s="126">
        <f t="shared" si="28"/>
        <v>50000</v>
      </c>
    </row>
    <row r="314" spans="1:26" ht="62.4">
      <c r="A314" s="38"/>
      <c r="B314" s="27">
        <v>4</v>
      </c>
      <c r="C314" s="127" t="s">
        <v>133</v>
      </c>
      <c r="D314" s="101" t="s">
        <v>49</v>
      </c>
      <c r="E314" s="128">
        <v>32</v>
      </c>
      <c r="F314" s="129" t="s">
        <v>126</v>
      </c>
      <c r="G314" s="136" t="s">
        <v>134</v>
      </c>
      <c r="H314" s="131" t="s">
        <v>128</v>
      </c>
      <c r="I314" s="129" t="s">
        <v>135</v>
      </c>
      <c r="J314" s="66" t="s">
        <v>52</v>
      </c>
      <c r="K314" s="132" t="s">
        <v>54</v>
      </c>
      <c r="L314" s="133">
        <f>'[1]1. SH,Input dan Outcome'!I293</f>
        <v>0</v>
      </c>
      <c r="M314" s="120">
        <v>1</v>
      </c>
      <c r="N314" s="121" t="s">
        <v>121</v>
      </c>
      <c r="O314" s="121" t="s">
        <v>122</v>
      </c>
      <c r="P314" s="121" t="s">
        <v>123</v>
      </c>
      <c r="Q314" s="122">
        <v>1</v>
      </c>
      <c r="R314" s="134" t="s">
        <v>53</v>
      </c>
      <c r="S314" s="123" t="s">
        <v>124</v>
      </c>
      <c r="T314" s="124">
        <v>50000</v>
      </c>
      <c r="U314" s="125"/>
      <c r="V314" s="36">
        <v>0.75</v>
      </c>
      <c r="W314" s="135">
        <v>0</v>
      </c>
      <c r="X314" s="135">
        <v>0</v>
      </c>
      <c r="Y314" s="135">
        <v>0</v>
      </c>
      <c r="Z314" s="126">
        <f t="shared" si="28"/>
        <v>12500</v>
      </c>
    </row>
    <row r="315" spans="1:26" ht="62.4">
      <c r="A315" s="38"/>
      <c r="B315" s="27">
        <v>5</v>
      </c>
      <c r="C315" s="116" t="s">
        <v>136</v>
      </c>
      <c r="D315" s="101" t="s">
        <v>49</v>
      </c>
      <c r="E315" s="117">
        <v>41</v>
      </c>
      <c r="F315" s="118" t="s">
        <v>126</v>
      </c>
      <c r="G315" s="119" t="s">
        <v>137</v>
      </c>
      <c r="H315" s="131" t="s">
        <v>128</v>
      </c>
      <c r="I315" s="118" t="s">
        <v>72</v>
      </c>
      <c r="J315" s="66" t="s">
        <v>52</v>
      </c>
      <c r="K315" s="132" t="s">
        <v>54</v>
      </c>
      <c r="L315" s="133">
        <f>'[1]1. SH,Input dan Outcome'!I294</f>
        <v>0</v>
      </c>
      <c r="M315" s="120">
        <v>1</v>
      </c>
      <c r="N315" s="121" t="s">
        <v>121</v>
      </c>
      <c r="O315" s="121" t="s">
        <v>122</v>
      </c>
      <c r="P315" s="121" t="s">
        <v>123</v>
      </c>
      <c r="Q315" s="122">
        <v>1</v>
      </c>
      <c r="R315" s="134" t="s">
        <v>53</v>
      </c>
      <c r="S315" s="123" t="s">
        <v>124</v>
      </c>
      <c r="T315" s="124">
        <v>50000</v>
      </c>
      <c r="U315" s="125"/>
      <c r="V315" s="36">
        <v>0.75</v>
      </c>
      <c r="W315" s="135">
        <v>0</v>
      </c>
      <c r="X315" s="135">
        <v>0</v>
      </c>
      <c r="Y315" s="135">
        <v>0</v>
      </c>
      <c r="Z315" s="126">
        <f t="shared" si="28"/>
        <v>12500</v>
      </c>
    </row>
    <row r="316" spans="1:26" ht="62.4">
      <c r="A316" s="38"/>
      <c r="B316" s="27">
        <v>6</v>
      </c>
      <c r="C316" s="127" t="s">
        <v>138</v>
      </c>
      <c r="D316" s="101" t="s">
        <v>49</v>
      </c>
      <c r="E316" s="128">
        <v>17</v>
      </c>
      <c r="F316" s="129" t="s">
        <v>139</v>
      </c>
      <c r="G316" s="136" t="s">
        <v>140</v>
      </c>
      <c r="H316" s="131" t="s">
        <v>128</v>
      </c>
      <c r="I316" s="129" t="s">
        <v>141</v>
      </c>
      <c r="J316" s="66" t="s">
        <v>120</v>
      </c>
      <c r="K316" s="132" t="s">
        <v>54</v>
      </c>
      <c r="L316" s="133">
        <f>'[1]1. SH,Input dan Outcome'!I295</f>
        <v>0</v>
      </c>
      <c r="M316" s="120">
        <v>1</v>
      </c>
      <c r="N316" s="121" t="s">
        <v>121</v>
      </c>
      <c r="O316" s="121" t="s">
        <v>122</v>
      </c>
      <c r="P316" s="121" t="s">
        <v>123</v>
      </c>
      <c r="Q316" s="122">
        <v>1</v>
      </c>
      <c r="R316" s="134" t="s">
        <v>53</v>
      </c>
      <c r="S316" s="123" t="s">
        <v>124</v>
      </c>
      <c r="T316" s="124">
        <v>50000</v>
      </c>
      <c r="U316" s="125"/>
      <c r="V316" s="36">
        <v>0.75</v>
      </c>
      <c r="W316" s="135">
        <v>0</v>
      </c>
      <c r="X316" s="135">
        <v>0</v>
      </c>
      <c r="Y316" s="135">
        <v>0</v>
      </c>
      <c r="Z316" s="126">
        <f t="shared" si="28"/>
        <v>12500</v>
      </c>
    </row>
    <row r="317" spans="1:26" ht="62.4">
      <c r="A317" s="38"/>
      <c r="B317" s="27">
        <v>7</v>
      </c>
      <c r="C317" s="116" t="s">
        <v>142</v>
      </c>
      <c r="D317" s="101" t="s">
        <v>49</v>
      </c>
      <c r="E317" s="117">
        <v>17</v>
      </c>
      <c r="F317" s="118" t="s">
        <v>143</v>
      </c>
      <c r="G317" s="119" t="s">
        <v>144</v>
      </c>
      <c r="H317" s="131" t="s">
        <v>128</v>
      </c>
      <c r="I317" s="118" t="s">
        <v>141</v>
      </c>
      <c r="J317" s="66" t="s">
        <v>120</v>
      </c>
      <c r="K317" s="132" t="s">
        <v>54</v>
      </c>
      <c r="L317" s="137">
        <f>'[1]1. SH,Input dan Outcome'!I296</f>
        <v>0</v>
      </c>
      <c r="M317" s="120">
        <v>1</v>
      </c>
      <c r="N317" s="121" t="s">
        <v>121</v>
      </c>
      <c r="O317" s="121" t="s">
        <v>122</v>
      </c>
      <c r="P317" s="121" t="s">
        <v>123</v>
      </c>
      <c r="Q317" s="122">
        <v>1</v>
      </c>
      <c r="R317" s="134" t="s">
        <v>53</v>
      </c>
      <c r="S317" s="123" t="s">
        <v>124</v>
      </c>
      <c r="T317" s="124">
        <v>50000</v>
      </c>
      <c r="U317" s="125"/>
      <c r="V317" s="36">
        <v>0.75</v>
      </c>
      <c r="W317" s="135">
        <v>0</v>
      </c>
      <c r="X317" s="135">
        <v>0</v>
      </c>
      <c r="Y317" s="135">
        <v>0</v>
      </c>
      <c r="Z317" s="126">
        <f t="shared" si="28"/>
        <v>12500</v>
      </c>
    </row>
    <row r="318" spans="1:26" ht="62.4">
      <c r="A318" s="38"/>
      <c r="B318" s="27">
        <v>8</v>
      </c>
      <c r="C318" s="127" t="s">
        <v>145</v>
      </c>
      <c r="D318" s="101" t="s">
        <v>49</v>
      </c>
      <c r="E318" s="128">
        <v>17</v>
      </c>
      <c r="F318" s="129" t="s">
        <v>143</v>
      </c>
      <c r="G318" s="136" t="s">
        <v>146</v>
      </c>
      <c r="H318" s="131" t="s">
        <v>128</v>
      </c>
      <c r="I318" s="129" t="s">
        <v>141</v>
      </c>
      <c r="J318" s="66" t="s">
        <v>120</v>
      </c>
      <c r="K318" s="132" t="s">
        <v>54</v>
      </c>
      <c r="L318" s="137">
        <f>'[1]1. SH,Input dan Outcome'!I297</f>
        <v>0</v>
      </c>
      <c r="M318" s="120">
        <v>1</v>
      </c>
      <c r="N318" s="121" t="s">
        <v>121</v>
      </c>
      <c r="O318" s="121" t="s">
        <v>122</v>
      </c>
      <c r="P318" s="121" t="s">
        <v>123</v>
      </c>
      <c r="Q318" s="122">
        <v>1</v>
      </c>
      <c r="R318" s="134" t="s">
        <v>53</v>
      </c>
      <c r="S318" s="123" t="s">
        <v>124</v>
      </c>
      <c r="T318" s="124">
        <v>0</v>
      </c>
      <c r="U318" s="125"/>
      <c r="V318" s="36">
        <v>0.75</v>
      </c>
      <c r="W318" s="135">
        <v>0</v>
      </c>
      <c r="X318" s="135">
        <v>0</v>
      </c>
      <c r="Y318" s="135">
        <v>0</v>
      </c>
      <c r="Z318" s="126">
        <f t="shared" si="28"/>
        <v>0</v>
      </c>
    </row>
    <row r="319" spans="1:26" ht="62.4">
      <c r="A319" s="38"/>
      <c r="B319" s="27">
        <v>9</v>
      </c>
      <c r="C319" s="116" t="s">
        <v>147</v>
      </c>
      <c r="D319" s="101" t="s">
        <v>31</v>
      </c>
      <c r="E319" s="117">
        <v>16</v>
      </c>
      <c r="F319" s="118" t="s">
        <v>148</v>
      </c>
      <c r="G319" s="119" t="s">
        <v>149</v>
      </c>
      <c r="H319" s="131" t="s">
        <v>128</v>
      </c>
      <c r="I319" s="118" t="s">
        <v>141</v>
      </c>
      <c r="J319" s="66" t="s">
        <v>120</v>
      </c>
      <c r="K319" s="132" t="s">
        <v>54</v>
      </c>
      <c r="L319" s="137">
        <f>'[1]1. SH,Input dan Outcome'!I298</f>
        <v>0</v>
      </c>
      <c r="M319" s="120">
        <v>1</v>
      </c>
      <c r="N319" s="121" t="s">
        <v>121</v>
      </c>
      <c r="O319" s="121" t="s">
        <v>122</v>
      </c>
      <c r="P319" s="121" t="s">
        <v>123</v>
      </c>
      <c r="Q319" s="122">
        <v>1</v>
      </c>
      <c r="R319" s="134" t="s">
        <v>53</v>
      </c>
      <c r="S319" s="123" t="s">
        <v>124</v>
      </c>
      <c r="T319" s="124">
        <v>0</v>
      </c>
      <c r="U319" s="125"/>
      <c r="V319" s="36">
        <v>0.75</v>
      </c>
      <c r="W319" s="135">
        <v>0</v>
      </c>
      <c r="X319" s="135">
        <v>0</v>
      </c>
      <c r="Y319" s="135">
        <v>0</v>
      </c>
      <c r="Z319" s="126">
        <f t="shared" si="28"/>
        <v>0</v>
      </c>
    </row>
    <row r="320" spans="1:26" ht="62.4">
      <c r="A320" s="38"/>
      <c r="B320" s="27">
        <v>10</v>
      </c>
      <c r="C320" s="127" t="s">
        <v>150</v>
      </c>
      <c r="D320" s="101" t="s">
        <v>49</v>
      </c>
      <c r="E320" s="128">
        <v>17</v>
      </c>
      <c r="F320" s="129" t="s">
        <v>151</v>
      </c>
      <c r="G320" s="136" t="s">
        <v>152</v>
      </c>
      <c r="H320" s="131" t="s">
        <v>128</v>
      </c>
      <c r="I320" s="129" t="s">
        <v>141</v>
      </c>
      <c r="J320" s="66" t="s">
        <v>120</v>
      </c>
      <c r="K320" s="132" t="s">
        <v>54</v>
      </c>
      <c r="L320" s="137">
        <f>'[1]1. SH,Input dan Outcome'!I299</f>
        <v>0</v>
      </c>
      <c r="M320" s="120">
        <v>1</v>
      </c>
      <c r="N320" s="121" t="s">
        <v>121</v>
      </c>
      <c r="O320" s="121" t="s">
        <v>122</v>
      </c>
      <c r="P320" s="121" t="s">
        <v>123</v>
      </c>
      <c r="Q320" s="122">
        <v>1</v>
      </c>
      <c r="R320" s="134" t="s">
        <v>53</v>
      </c>
      <c r="S320" s="123" t="s">
        <v>124</v>
      </c>
      <c r="T320" s="124">
        <v>0</v>
      </c>
      <c r="U320" s="125"/>
      <c r="V320" s="36">
        <v>0.75</v>
      </c>
      <c r="W320" s="135">
        <v>0</v>
      </c>
      <c r="X320" s="135">
        <v>0</v>
      </c>
      <c r="Y320" s="135">
        <v>0</v>
      </c>
      <c r="Z320" s="126">
        <f t="shared" si="28"/>
        <v>0</v>
      </c>
    </row>
    <row r="321" spans="1:26" ht="62.4">
      <c r="A321" s="38"/>
      <c r="B321" s="27">
        <v>11</v>
      </c>
      <c r="C321" s="116" t="s">
        <v>153</v>
      </c>
      <c r="D321" s="101" t="s">
        <v>31</v>
      </c>
      <c r="E321" s="117">
        <v>18</v>
      </c>
      <c r="F321" s="118" t="s">
        <v>154</v>
      </c>
      <c r="G321" s="119" t="s">
        <v>155</v>
      </c>
      <c r="H321" s="131" t="s">
        <v>128</v>
      </c>
      <c r="I321" s="118" t="s">
        <v>141</v>
      </c>
      <c r="J321" s="66" t="s">
        <v>120</v>
      </c>
      <c r="K321" s="132" t="s">
        <v>54</v>
      </c>
      <c r="L321" s="137">
        <f>'[1]1. SH,Input dan Outcome'!I300</f>
        <v>0</v>
      </c>
      <c r="M321" s="120">
        <v>1</v>
      </c>
      <c r="N321" s="121" t="s">
        <v>121</v>
      </c>
      <c r="O321" s="121" t="s">
        <v>122</v>
      </c>
      <c r="P321" s="121" t="s">
        <v>123</v>
      </c>
      <c r="Q321" s="122">
        <v>1</v>
      </c>
      <c r="R321" s="134" t="s">
        <v>53</v>
      </c>
      <c r="S321" s="123" t="s">
        <v>124</v>
      </c>
      <c r="T321" s="124">
        <v>200000</v>
      </c>
      <c r="U321" s="125"/>
      <c r="V321" s="36">
        <v>0.75</v>
      </c>
      <c r="W321" s="135">
        <v>0</v>
      </c>
      <c r="X321" s="135">
        <v>0</v>
      </c>
      <c r="Y321" s="135">
        <v>0</v>
      </c>
      <c r="Z321" s="126">
        <f t="shared" si="28"/>
        <v>50000</v>
      </c>
    </row>
    <row r="322" spans="1:26" ht="62.4">
      <c r="A322" s="38"/>
      <c r="B322" s="27">
        <v>12</v>
      </c>
      <c r="C322" s="127" t="s">
        <v>156</v>
      </c>
      <c r="D322" s="101" t="s">
        <v>31</v>
      </c>
      <c r="E322" s="128">
        <v>16</v>
      </c>
      <c r="F322" s="129" t="s">
        <v>157</v>
      </c>
      <c r="G322" s="136" t="s">
        <v>158</v>
      </c>
      <c r="H322" s="131" t="s">
        <v>128</v>
      </c>
      <c r="I322" s="129" t="s">
        <v>141</v>
      </c>
      <c r="J322" s="66" t="s">
        <v>120</v>
      </c>
      <c r="K322" s="132" t="s">
        <v>54</v>
      </c>
      <c r="L322" s="137">
        <f>'[1]1. SH,Input dan Outcome'!I301</f>
        <v>0</v>
      </c>
      <c r="M322" s="120">
        <v>1</v>
      </c>
      <c r="N322" s="121" t="s">
        <v>121</v>
      </c>
      <c r="O322" s="121" t="s">
        <v>122</v>
      </c>
      <c r="P322" s="121" t="s">
        <v>123</v>
      </c>
      <c r="Q322" s="122">
        <v>1</v>
      </c>
      <c r="R322" s="134" t="s">
        <v>53</v>
      </c>
      <c r="S322" s="123" t="s">
        <v>124</v>
      </c>
      <c r="T322" s="124">
        <v>200000</v>
      </c>
      <c r="U322" s="125"/>
      <c r="V322" s="36">
        <v>0.75</v>
      </c>
      <c r="W322" s="135">
        <v>0</v>
      </c>
      <c r="X322" s="135">
        <v>0</v>
      </c>
      <c r="Y322" s="135">
        <v>0</v>
      </c>
      <c r="Z322" s="126">
        <f t="shared" si="28"/>
        <v>50000</v>
      </c>
    </row>
    <row r="323" spans="1:26" ht="62.4">
      <c r="A323" s="38"/>
      <c r="B323" s="27">
        <v>13</v>
      </c>
      <c r="C323" s="116" t="s">
        <v>159</v>
      </c>
      <c r="D323" s="101" t="s">
        <v>49</v>
      </c>
      <c r="E323" s="117">
        <v>16</v>
      </c>
      <c r="F323" s="118" t="s">
        <v>160</v>
      </c>
      <c r="G323" s="119" t="s">
        <v>161</v>
      </c>
      <c r="H323" s="131" t="s">
        <v>128</v>
      </c>
      <c r="I323" s="118" t="s">
        <v>141</v>
      </c>
      <c r="J323" s="66" t="s">
        <v>120</v>
      </c>
      <c r="K323" s="132" t="s">
        <v>54</v>
      </c>
      <c r="L323" s="137">
        <f>'[1]1. SH,Input dan Outcome'!I302</f>
        <v>0</v>
      </c>
      <c r="M323" s="120">
        <v>1</v>
      </c>
      <c r="N323" s="121" t="s">
        <v>121</v>
      </c>
      <c r="O323" s="121" t="s">
        <v>122</v>
      </c>
      <c r="P323" s="121" t="s">
        <v>123</v>
      </c>
      <c r="Q323" s="122">
        <v>1</v>
      </c>
      <c r="R323" s="134" t="s">
        <v>53</v>
      </c>
      <c r="S323" s="123" t="s">
        <v>124</v>
      </c>
      <c r="T323" s="124">
        <v>200000</v>
      </c>
      <c r="U323" s="125"/>
      <c r="V323" s="36">
        <v>0.75</v>
      </c>
      <c r="W323" s="135">
        <v>0</v>
      </c>
      <c r="X323" s="135">
        <v>0</v>
      </c>
      <c r="Y323" s="135">
        <v>0</v>
      </c>
      <c r="Z323" s="126">
        <f t="shared" si="28"/>
        <v>50000</v>
      </c>
    </row>
    <row r="324" spans="1:26" ht="62.4">
      <c r="A324" s="38"/>
      <c r="B324" s="27">
        <v>14</v>
      </c>
      <c r="C324" s="127" t="s">
        <v>162</v>
      </c>
      <c r="D324" s="101" t="s">
        <v>31</v>
      </c>
      <c r="E324" s="128">
        <v>17</v>
      </c>
      <c r="F324" s="129" t="s">
        <v>163</v>
      </c>
      <c r="G324" s="136" t="s">
        <v>164</v>
      </c>
      <c r="H324" s="131" t="s">
        <v>128</v>
      </c>
      <c r="I324" s="129" t="s">
        <v>141</v>
      </c>
      <c r="J324" s="66" t="s">
        <v>120</v>
      </c>
      <c r="K324" s="132" t="s">
        <v>54</v>
      </c>
      <c r="L324" s="137">
        <f>'[1]1. SH,Input dan Outcome'!I303</f>
        <v>0</v>
      </c>
      <c r="M324" s="120">
        <v>1</v>
      </c>
      <c r="N324" s="121" t="s">
        <v>121</v>
      </c>
      <c r="O324" s="121" t="s">
        <v>122</v>
      </c>
      <c r="P324" s="121" t="s">
        <v>123</v>
      </c>
      <c r="Q324" s="122">
        <v>1</v>
      </c>
      <c r="R324" s="134" t="s">
        <v>53</v>
      </c>
      <c r="S324" s="123" t="s">
        <v>124</v>
      </c>
      <c r="T324" s="124">
        <v>200000</v>
      </c>
      <c r="U324" s="125"/>
      <c r="V324" s="36">
        <v>0.75</v>
      </c>
      <c r="W324" s="135">
        <v>0</v>
      </c>
      <c r="X324" s="135">
        <v>0</v>
      </c>
      <c r="Y324" s="135">
        <v>0</v>
      </c>
      <c r="Z324" s="126">
        <f t="shared" si="28"/>
        <v>50000</v>
      </c>
    </row>
    <row r="325" spans="1:26" ht="62.4">
      <c r="A325" s="38"/>
      <c r="B325" s="27">
        <v>15</v>
      </c>
      <c r="C325" s="116" t="s">
        <v>165</v>
      </c>
      <c r="D325" s="101" t="s">
        <v>49</v>
      </c>
      <c r="E325" s="117">
        <v>17</v>
      </c>
      <c r="F325" s="118" t="s">
        <v>166</v>
      </c>
      <c r="G325" s="119" t="s">
        <v>167</v>
      </c>
      <c r="H325" s="131" t="s">
        <v>128</v>
      </c>
      <c r="I325" s="118" t="s">
        <v>141</v>
      </c>
      <c r="J325" s="66" t="s">
        <v>120</v>
      </c>
      <c r="K325" s="132" t="s">
        <v>54</v>
      </c>
      <c r="L325" s="137">
        <f>'[1]1. SH,Input dan Outcome'!I304</f>
        <v>0</v>
      </c>
      <c r="M325" s="120">
        <v>1</v>
      </c>
      <c r="N325" s="121" t="s">
        <v>121</v>
      </c>
      <c r="O325" s="121" t="s">
        <v>122</v>
      </c>
      <c r="P325" s="121" t="s">
        <v>123</v>
      </c>
      <c r="Q325" s="122">
        <v>1</v>
      </c>
      <c r="R325" s="134" t="s">
        <v>53</v>
      </c>
      <c r="S325" s="123" t="s">
        <v>124</v>
      </c>
      <c r="T325" s="124">
        <v>100000</v>
      </c>
      <c r="U325" s="125"/>
      <c r="V325" s="36">
        <v>0.75</v>
      </c>
      <c r="W325" s="135">
        <v>0</v>
      </c>
      <c r="X325" s="135">
        <v>0</v>
      </c>
      <c r="Y325" s="135">
        <v>0</v>
      </c>
      <c r="Z325" s="126">
        <f t="shared" si="28"/>
        <v>25000</v>
      </c>
    </row>
    <row r="326" spans="1:26" ht="62.4">
      <c r="A326" s="38"/>
      <c r="B326" s="27">
        <v>16</v>
      </c>
      <c r="C326" s="127" t="s">
        <v>168</v>
      </c>
      <c r="D326" s="101" t="s">
        <v>49</v>
      </c>
      <c r="E326" s="128">
        <v>17</v>
      </c>
      <c r="F326" s="129" t="s">
        <v>143</v>
      </c>
      <c r="G326" s="136" t="s">
        <v>169</v>
      </c>
      <c r="H326" s="131" t="s">
        <v>128</v>
      </c>
      <c r="I326" s="129" t="s">
        <v>141</v>
      </c>
      <c r="J326" s="66" t="s">
        <v>120</v>
      </c>
      <c r="K326" s="132" t="s">
        <v>54</v>
      </c>
      <c r="L326" s="137">
        <f>'[1]1. SH,Input dan Outcome'!I305</f>
        <v>0</v>
      </c>
      <c r="M326" s="120">
        <v>1</v>
      </c>
      <c r="N326" s="121" t="s">
        <v>121</v>
      </c>
      <c r="O326" s="121" t="s">
        <v>122</v>
      </c>
      <c r="P326" s="121" t="s">
        <v>123</v>
      </c>
      <c r="Q326" s="122">
        <v>1</v>
      </c>
      <c r="R326" s="134" t="s">
        <v>53</v>
      </c>
      <c r="S326" s="123" t="s">
        <v>124</v>
      </c>
      <c r="T326" s="124">
        <v>100000</v>
      </c>
      <c r="U326" s="125"/>
      <c r="V326" s="36">
        <v>0.75</v>
      </c>
      <c r="W326" s="135">
        <v>0</v>
      </c>
      <c r="X326" s="135">
        <v>0</v>
      </c>
      <c r="Y326" s="135">
        <v>0</v>
      </c>
      <c r="Z326" s="126">
        <f t="shared" si="28"/>
        <v>25000</v>
      </c>
    </row>
    <row r="327" spans="1:26" ht="62.4">
      <c r="A327" s="38"/>
      <c r="B327" s="27">
        <v>17</v>
      </c>
      <c r="C327" s="116" t="s">
        <v>170</v>
      </c>
      <c r="D327" s="101" t="s">
        <v>49</v>
      </c>
      <c r="E327" s="117">
        <v>16</v>
      </c>
      <c r="F327" s="118" t="s">
        <v>171</v>
      </c>
      <c r="G327" s="119" t="s">
        <v>172</v>
      </c>
      <c r="H327" s="131" t="s">
        <v>128</v>
      </c>
      <c r="I327" s="118" t="s">
        <v>141</v>
      </c>
      <c r="J327" s="66" t="s">
        <v>120</v>
      </c>
      <c r="K327" s="132" t="s">
        <v>54</v>
      </c>
      <c r="L327" s="137">
        <f>'[1]1. SH,Input dan Outcome'!I306</f>
        <v>0</v>
      </c>
      <c r="M327" s="120">
        <v>1</v>
      </c>
      <c r="N327" s="121" t="s">
        <v>121</v>
      </c>
      <c r="O327" s="121" t="s">
        <v>122</v>
      </c>
      <c r="P327" s="121" t="s">
        <v>123</v>
      </c>
      <c r="Q327" s="122">
        <v>1</v>
      </c>
      <c r="R327" s="134" t="s">
        <v>53</v>
      </c>
      <c r="S327" s="123" t="s">
        <v>124</v>
      </c>
      <c r="T327" s="124">
        <v>100000</v>
      </c>
      <c r="U327" s="125"/>
      <c r="V327" s="36">
        <v>0.75</v>
      </c>
      <c r="W327" s="135">
        <v>0</v>
      </c>
      <c r="X327" s="135">
        <v>0</v>
      </c>
      <c r="Y327" s="135">
        <v>0</v>
      </c>
      <c r="Z327" s="126">
        <f t="shared" si="28"/>
        <v>25000</v>
      </c>
    </row>
    <row r="328" spans="1:26" ht="62.4">
      <c r="A328" s="38"/>
      <c r="B328" s="27">
        <v>18</v>
      </c>
      <c r="C328" s="127" t="s">
        <v>173</v>
      </c>
      <c r="D328" s="101" t="s">
        <v>31</v>
      </c>
      <c r="E328" s="128">
        <v>17</v>
      </c>
      <c r="F328" s="129" t="s">
        <v>143</v>
      </c>
      <c r="G328" s="136" t="s">
        <v>174</v>
      </c>
      <c r="H328" s="131" t="s">
        <v>128</v>
      </c>
      <c r="I328" s="129" t="s">
        <v>141</v>
      </c>
      <c r="J328" s="66" t="s">
        <v>120</v>
      </c>
      <c r="K328" s="132" t="s">
        <v>54</v>
      </c>
      <c r="L328" s="137">
        <f>'[1]1. SH,Input dan Outcome'!I307</f>
        <v>0</v>
      </c>
      <c r="M328" s="120">
        <v>1</v>
      </c>
      <c r="N328" s="121" t="s">
        <v>121</v>
      </c>
      <c r="O328" s="121" t="s">
        <v>122</v>
      </c>
      <c r="P328" s="121" t="s">
        <v>123</v>
      </c>
      <c r="Q328" s="122">
        <v>1</v>
      </c>
      <c r="R328" s="134" t="s">
        <v>53</v>
      </c>
      <c r="S328" s="123" t="s">
        <v>124</v>
      </c>
      <c r="T328" s="124">
        <v>250000</v>
      </c>
      <c r="U328" s="125"/>
      <c r="V328" s="36">
        <v>0.75</v>
      </c>
      <c r="W328" s="135">
        <v>0</v>
      </c>
      <c r="X328" s="135">
        <v>0</v>
      </c>
      <c r="Y328" s="135">
        <v>0</v>
      </c>
      <c r="Z328" s="126">
        <f t="shared" si="28"/>
        <v>62500</v>
      </c>
    </row>
    <row r="329" spans="1:26" ht="62.4">
      <c r="A329" s="38"/>
      <c r="B329" s="27">
        <v>19</v>
      </c>
      <c r="C329" s="116" t="s">
        <v>175</v>
      </c>
      <c r="D329" s="101" t="s">
        <v>49</v>
      </c>
      <c r="E329" s="117">
        <v>40</v>
      </c>
      <c r="F329" s="118" t="s">
        <v>176</v>
      </c>
      <c r="G329" s="119" t="s">
        <v>177</v>
      </c>
      <c r="H329" s="66" t="s">
        <v>33</v>
      </c>
      <c r="I329" s="118" t="s">
        <v>178</v>
      </c>
      <c r="J329" s="66" t="s">
        <v>52</v>
      </c>
      <c r="K329" s="132" t="s">
        <v>54</v>
      </c>
      <c r="L329" s="137">
        <f>'[1]1. SH,Input dan Outcome'!I308</f>
        <v>0</v>
      </c>
      <c r="M329" s="120">
        <v>1</v>
      </c>
      <c r="N329" s="121" t="s">
        <v>121</v>
      </c>
      <c r="O329" s="121" t="s">
        <v>122</v>
      </c>
      <c r="P329" s="121" t="s">
        <v>123</v>
      </c>
      <c r="Q329" s="122">
        <v>1</v>
      </c>
      <c r="R329" s="134" t="s">
        <v>53</v>
      </c>
      <c r="S329" s="123" t="s">
        <v>124</v>
      </c>
      <c r="T329" s="124">
        <v>50000</v>
      </c>
      <c r="U329" s="125"/>
      <c r="V329" s="36">
        <v>0.75</v>
      </c>
      <c r="W329" s="135">
        <v>0</v>
      </c>
      <c r="X329" s="135">
        <v>0</v>
      </c>
      <c r="Y329" s="135">
        <v>0</v>
      </c>
      <c r="Z329" s="126">
        <f t="shared" si="28"/>
        <v>12500</v>
      </c>
    </row>
    <row r="330" spans="1:26" ht="62.4">
      <c r="A330" s="38"/>
      <c r="B330" s="27">
        <v>20</v>
      </c>
      <c r="C330" s="127" t="s">
        <v>179</v>
      </c>
      <c r="D330" s="101" t="s">
        <v>31</v>
      </c>
      <c r="E330" s="128">
        <v>16</v>
      </c>
      <c r="F330" s="129" t="s">
        <v>180</v>
      </c>
      <c r="G330" s="136" t="s">
        <v>181</v>
      </c>
      <c r="H330" s="66" t="s">
        <v>128</v>
      </c>
      <c r="I330" s="129" t="s">
        <v>141</v>
      </c>
      <c r="J330" s="66" t="s">
        <v>120</v>
      </c>
      <c r="K330" s="132" t="s">
        <v>54</v>
      </c>
      <c r="L330" s="137">
        <f>'[1]1. SH,Input dan Outcome'!I309</f>
        <v>0</v>
      </c>
      <c r="M330" s="120">
        <v>1</v>
      </c>
      <c r="N330" s="121" t="s">
        <v>121</v>
      </c>
      <c r="O330" s="121" t="s">
        <v>122</v>
      </c>
      <c r="P330" s="121" t="s">
        <v>123</v>
      </c>
      <c r="Q330" s="122">
        <v>1</v>
      </c>
      <c r="R330" s="134" t="s">
        <v>53</v>
      </c>
      <c r="S330" s="123" t="s">
        <v>124</v>
      </c>
      <c r="T330" s="124">
        <v>100000</v>
      </c>
      <c r="U330" s="125"/>
      <c r="V330" s="36">
        <v>0.75</v>
      </c>
      <c r="W330" s="135">
        <v>0</v>
      </c>
      <c r="X330" s="135">
        <v>0</v>
      </c>
      <c r="Y330" s="135">
        <v>0</v>
      </c>
      <c r="Z330" s="126">
        <f t="shared" si="28"/>
        <v>25000</v>
      </c>
    </row>
    <row r="331" spans="1:26" ht="62.4">
      <c r="A331" s="38"/>
      <c r="B331" s="27">
        <v>21</v>
      </c>
      <c r="C331" s="116" t="s">
        <v>182</v>
      </c>
      <c r="D331" s="101" t="s">
        <v>49</v>
      </c>
      <c r="E331" s="117">
        <v>36</v>
      </c>
      <c r="F331" s="118" t="s">
        <v>183</v>
      </c>
      <c r="G331" s="119" t="s">
        <v>184</v>
      </c>
      <c r="H331" s="66" t="s">
        <v>85</v>
      </c>
      <c r="I331" s="118" t="s">
        <v>178</v>
      </c>
      <c r="J331" s="66" t="s">
        <v>52</v>
      </c>
      <c r="K331" s="132" t="s">
        <v>54</v>
      </c>
      <c r="L331" s="137">
        <f>'[1]1. SH,Input dan Outcome'!I310</f>
        <v>0</v>
      </c>
      <c r="M331" s="120">
        <v>1</v>
      </c>
      <c r="N331" s="121" t="s">
        <v>121</v>
      </c>
      <c r="O331" s="121" t="s">
        <v>122</v>
      </c>
      <c r="P331" s="121" t="s">
        <v>123</v>
      </c>
      <c r="Q331" s="122">
        <v>1</v>
      </c>
      <c r="R331" s="134" t="s">
        <v>53</v>
      </c>
      <c r="S331" s="123" t="s">
        <v>124</v>
      </c>
      <c r="T331" s="124">
        <v>50000</v>
      </c>
      <c r="U331" s="125"/>
      <c r="V331" s="36">
        <v>0.75</v>
      </c>
      <c r="W331" s="135">
        <v>0</v>
      </c>
      <c r="X331" s="135">
        <v>0</v>
      </c>
      <c r="Y331" s="135">
        <v>0</v>
      </c>
      <c r="Z331" s="126">
        <f t="shared" si="28"/>
        <v>12500</v>
      </c>
    </row>
    <row r="332" spans="1:26" ht="62.4">
      <c r="A332" s="38"/>
      <c r="B332" s="27">
        <v>22</v>
      </c>
      <c r="C332" s="127" t="s">
        <v>185</v>
      </c>
      <c r="D332" s="101" t="s">
        <v>49</v>
      </c>
      <c r="E332" s="128">
        <v>41</v>
      </c>
      <c r="F332" s="129" t="s">
        <v>186</v>
      </c>
      <c r="G332" s="136" t="s">
        <v>187</v>
      </c>
      <c r="H332" s="66" t="s">
        <v>33</v>
      </c>
      <c r="I332" s="129" t="s">
        <v>178</v>
      </c>
      <c r="J332" s="66" t="s">
        <v>52</v>
      </c>
      <c r="K332" s="132" t="s">
        <v>54</v>
      </c>
      <c r="L332" s="137">
        <f>'[1]1. SH,Input dan Outcome'!I311</f>
        <v>0</v>
      </c>
      <c r="M332" s="120">
        <v>1</v>
      </c>
      <c r="N332" s="121" t="s">
        <v>121</v>
      </c>
      <c r="O332" s="121" t="s">
        <v>122</v>
      </c>
      <c r="P332" s="121" t="s">
        <v>123</v>
      </c>
      <c r="Q332" s="122">
        <v>1</v>
      </c>
      <c r="R332" s="134" t="s">
        <v>53</v>
      </c>
      <c r="S332" s="123" t="s">
        <v>124</v>
      </c>
      <c r="T332" s="124">
        <v>250000</v>
      </c>
      <c r="U332" s="125"/>
      <c r="V332" s="36">
        <v>0.75</v>
      </c>
      <c r="W332" s="135">
        <v>0</v>
      </c>
      <c r="X332" s="135">
        <v>0</v>
      </c>
      <c r="Y332" s="135">
        <v>0</v>
      </c>
      <c r="Z332" s="126">
        <f t="shared" si="28"/>
        <v>62500</v>
      </c>
    </row>
    <row r="333" spans="1:26" ht="62.4">
      <c r="A333" s="38"/>
      <c r="B333" s="27">
        <v>23</v>
      </c>
      <c r="C333" s="116" t="s">
        <v>188</v>
      </c>
      <c r="D333" s="101" t="s">
        <v>49</v>
      </c>
      <c r="E333" s="117">
        <v>40</v>
      </c>
      <c r="F333" s="118" t="s">
        <v>189</v>
      </c>
      <c r="G333" s="119" t="s">
        <v>190</v>
      </c>
      <c r="H333" s="66" t="s">
        <v>33</v>
      </c>
      <c r="I333" s="118" t="s">
        <v>178</v>
      </c>
      <c r="J333" s="66" t="s">
        <v>52</v>
      </c>
      <c r="K333" s="138" t="s">
        <v>54</v>
      </c>
      <c r="L333" s="139">
        <f>'[1]1. SH,Input dan Outcome'!I312</f>
        <v>0</v>
      </c>
      <c r="M333" s="120">
        <v>1</v>
      </c>
      <c r="N333" s="121" t="s">
        <v>121</v>
      </c>
      <c r="O333" s="121" t="s">
        <v>122</v>
      </c>
      <c r="P333" s="121" t="s">
        <v>123</v>
      </c>
      <c r="Q333" s="122">
        <v>1</v>
      </c>
      <c r="R333" s="134" t="s">
        <v>53</v>
      </c>
      <c r="S333" s="123" t="s">
        <v>124</v>
      </c>
      <c r="T333" s="124">
        <v>50000</v>
      </c>
      <c r="U333" s="125"/>
      <c r="V333" s="36">
        <v>0.75</v>
      </c>
      <c r="W333" s="135">
        <v>0</v>
      </c>
      <c r="X333" s="135">
        <v>0</v>
      </c>
      <c r="Y333" s="135">
        <v>0</v>
      </c>
      <c r="Z333" s="126">
        <f t="shared" si="28"/>
        <v>12500</v>
      </c>
    </row>
    <row r="334" spans="1:26" ht="62.4">
      <c r="A334" s="38"/>
      <c r="B334" s="27">
        <v>24</v>
      </c>
      <c r="C334" s="127" t="s">
        <v>191</v>
      </c>
      <c r="D334" s="101" t="s">
        <v>49</v>
      </c>
      <c r="E334" s="140">
        <v>29</v>
      </c>
      <c r="F334" s="141" t="s">
        <v>192</v>
      </c>
      <c r="G334" s="142"/>
      <c r="H334" s="66" t="s">
        <v>193</v>
      </c>
      <c r="I334" s="141" t="s">
        <v>194</v>
      </c>
      <c r="J334" s="66" t="s">
        <v>195</v>
      </c>
      <c r="K334" s="138" t="s">
        <v>54</v>
      </c>
      <c r="L334" s="139">
        <f>'[1]1. SH,Input dan Outcome'!I313</f>
        <v>0</v>
      </c>
      <c r="M334" s="120">
        <v>1</v>
      </c>
      <c r="N334" s="121" t="s">
        <v>121</v>
      </c>
      <c r="O334" s="121" t="s">
        <v>122</v>
      </c>
      <c r="P334" s="121" t="s">
        <v>123</v>
      </c>
      <c r="Q334" s="122">
        <v>1</v>
      </c>
      <c r="R334" s="134" t="s">
        <v>53</v>
      </c>
      <c r="S334" s="123" t="s">
        <v>124</v>
      </c>
      <c r="T334" s="124">
        <v>200000</v>
      </c>
      <c r="U334" s="125"/>
      <c r="V334" s="36">
        <v>0.75</v>
      </c>
      <c r="W334" s="135">
        <v>0</v>
      </c>
      <c r="X334" s="135">
        <v>0</v>
      </c>
      <c r="Y334" s="135">
        <v>0</v>
      </c>
      <c r="Z334" s="126">
        <f t="shared" si="28"/>
        <v>50000</v>
      </c>
    </row>
    <row r="335" spans="1:26" ht="62.4">
      <c r="A335" s="38"/>
      <c r="B335" s="27">
        <v>25</v>
      </c>
      <c r="C335" s="116" t="s">
        <v>196</v>
      </c>
      <c r="D335" s="101" t="s">
        <v>49</v>
      </c>
      <c r="E335" s="140">
        <v>54</v>
      </c>
      <c r="F335" s="141" t="s">
        <v>192</v>
      </c>
      <c r="G335" s="142"/>
      <c r="H335" s="66" t="s">
        <v>193</v>
      </c>
      <c r="I335" s="143" t="s">
        <v>197</v>
      </c>
      <c r="J335" s="66" t="s">
        <v>52</v>
      </c>
      <c r="K335" s="138" t="s">
        <v>54</v>
      </c>
      <c r="L335" s="139">
        <f>'[1]1. SH,Input dan Outcome'!I314</f>
        <v>0</v>
      </c>
      <c r="M335" s="120">
        <v>1</v>
      </c>
      <c r="N335" s="121" t="s">
        <v>121</v>
      </c>
      <c r="O335" s="121" t="s">
        <v>122</v>
      </c>
      <c r="P335" s="121" t="s">
        <v>123</v>
      </c>
      <c r="Q335" s="122">
        <v>1</v>
      </c>
      <c r="R335" s="134" t="s">
        <v>53</v>
      </c>
      <c r="S335" s="123" t="s">
        <v>124</v>
      </c>
      <c r="T335" s="124">
        <v>200000</v>
      </c>
      <c r="U335" s="125"/>
      <c r="V335" s="36">
        <v>0.75</v>
      </c>
      <c r="W335" s="135">
        <v>0</v>
      </c>
      <c r="X335" s="135">
        <v>0</v>
      </c>
      <c r="Y335" s="135">
        <v>0</v>
      </c>
      <c r="Z335" s="126">
        <f t="shared" si="28"/>
        <v>50000</v>
      </c>
    </row>
    <row r="336" spans="1:26" ht="62.4">
      <c r="A336" s="38"/>
      <c r="B336" s="27">
        <v>26</v>
      </c>
      <c r="C336" s="127" t="s">
        <v>198</v>
      </c>
      <c r="D336" s="101" t="s">
        <v>31</v>
      </c>
      <c r="E336" s="140">
        <v>53</v>
      </c>
      <c r="F336" s="27" t="s">
        <v>192</v>
      </c>
      <c r="G336" s="144" t="s">
        <v>199</v>
      </c>
      <c r="H336" s="131" t="s">
        <v>200</v>
      </c>
      <c r="I336" s="129" t="s">
        <v>129</v>
      </c>
      <c r="J336" s="66" t="s">
        <v>35</v>
      </c>
      <c r="K336" s="138" t="s">
        <v>54</v>
      </c>
      <c r="L336" s="139">
        <f>'[1]1. SH,Input dan Outcome'!I315</f>
        <v>0</v>
      </c>
      <c r="M336" s="120">
        <v>1</v>
      </c>
      <c r="N336" s="121" t="s">
        <v>121</v>
      </c>
      <c r="O336" s="121" t="s">
        <v>122</v>
      </c>
      <c r="P336" s="121" t="s">
        <v>123</v>
      </c>
      <c r="Q336" s="122">
        <v>1</v>
      </c>
      <c r="R336" s="134" t="s">
        <v>53</v>
      </c>
      <c r="S336" s="123" t="s">
        <v>124</v>
      </c>
      <c r="T336" s="124">
        <v>200000</v>
      </c>
      <c r="U336" s="125"/>
      <c r="V336" s="36">
        <v>0.75</v>
      </c>
      <c r="W336" s="135">
        <v>0</v>
      </c>
      <c r="X336" s="135">
        <v>0</v>
      </c>
      <c r="Y336" s="135">
        <v>0</v>
      </c>
      <c r="Z336" s="126">
        <f t="shared" si="28"/>
        <v>50000</v>
      </c>
    </row>
    <row r="337" spans="1:26" ht="62.4">
      <c r="A337" s="38"/>
      <c r="B337" s="27">
        <v>27</v>
      </c>
      <c r="C337" s="145" t="s">
        <v>201</v>
      </c>
      <c r="D337" s="101" t="s">
        <v>31</v>
      </c>
      <c r="E337" s="140">
        <v>23</v>
      </c>
      <c r="F337" s="27" t="s">
        <v>143</v>
      </c>
      <c r="G337" s="146" t="s">
        <v>202</v>
      </c>
      <c r="H337" s="131" t="s">
        <v>128</v>
      </c>
      <c r="I337" s="118" t="s">
        <v>119</v>
      </c>
      <c r="J337" s="66" t="s">
        <v>195</v>
      </c>
      <c r="K337" s="138" t="s">
        <v>54</v>
      </c>
      <c r="L337" s="139">
        <f>'[1]1. SH,Input dan Outcome'!I316</f>
        <v>0</v>
      </c>
      <c r="M337" s="120">
        <v>1</v>
      </c>
      <c r="N337" s="121" t="s">
        <v>121</v>
      </c>
      <c r="O337" s="121" t="s">
        <v>122</v>
      </c>
      <c r="P337" s="121" t="s">
        <v>123</v>
      </c>
      <c r="Q337" s="122">
        <v>1</v>
      </c>
      <c r="R337" s="134" t="s">
        <v>53</v>
      </c>
      <c r="S337" s="123" t="s">
        <v>124</v>
      </c>
      <c r="T337" s="124">
        <v>250000</v>
      </c>
      <c r="U337" s="125"/>
      <c r="V337" s="36">
        <v>0.75</v>
      </c>
      <c r="W337" s="135">
        <v>0</v>
      </c>
      <c r="X337" s="135">
        <v>0</v>
      </c>
      <c r="Y337" s="135">
        <v>0</v>
      </c>
      <c r="Z337" s="126">
        <f t="shared" si="28"/>
        <v>62500</v>
      </c>
    </row>
    <row r="338" spans="1:26" ht="62.4">
      <c r="A338" s="38"/>
      <c r="B338" s="27">
        <v>28</v>
      </c>
      <c r="C338" s="145" t="s">
        <v>203</v>
      </c>
      <c r="D338" s="101" t="s">
        <v>49</v>
      </c>
      <c r="E338" s="140">
        <v>26</v>
      </c>
      <c r="F338" s="147" t="s">
        <v>192</v>
      </c>
      <c r="G338" s="146" t="s">
        <v>204</v>
      </c>
      <c r="H338" s="131" t="s">
        <v>128</v>
      </c>
      <c r="I338" s="143" t="s">
        <v>205</v>
      </c>
      <c r="J338" s="66" t="s">
        <v>195</v>
      </c>
      <c r="K338" s="138" t="s">
        <v>54</v>
      </c>
      <c r="L338" s="139">
        <f>'[1]1. SH,Input dan Outcome'!I317</f>
        <v>0</v>
      </c>
      <c r="M338" s="120">
        <v>1</v>
      </c>
      <c r="N338" s="121" t="s">
        <v>121</v>
      </c>
      <c r="O338" s="121" t="s">
        <v>122</v>
      </c>
      <c r="P338" s="121" t="s">
        <v>123</v>
      </c>
      <c r="Q338" s="122">
        <v>1</v>
      </c>
      <c r="R338" s="134" t="s">
        <v>53</v>
      </c>
      <c r="S338" s="123" t="s">
        <v>124</v>
      </c>
      <c r="T338" s="124">
        <v>200000</v>
      </c>
      <c r="U338" s="125"/>
      <c r="V338" s="36">
        <v>0.75</v>
      </c>
      <c r="W338" s="135">
        <v>0</v>
      </c>
      <c r="X338" s="135">
        <v>0</v>
      </c>
      <c r="Y338" s="135">
        <v>0</v>
      </c>
      <c r="Z338" s="126">
        <f t="shared" si="28"/>
        <v>50000</v>
      </c>
    </row>
    <row r="339" spans="1:26" ht="62.4">
      <c r="A339" s="38"/>
      <c r="B339" s="27">
        <v>29</v>
      </c>
      <c r="C339" s="145" t="s">
        <v>206</v>
      </c>
      <c r="D339" s="101" t="s">
        <v>49</v>
      </c>
      <c r="E339" s="140">
        <v>34</v>
      </c>
      <c r="F339" s="147" t="s">
        <v>143</v>
      </c>
      <c r="G339" s="146" t="s">
        <v>207</v>
      </c>
      <c r="H339" s="131" t="s">
        <v>193</v>
      </c>
      <c r="I339" s="143" t="s">
        <v>205</v>
      </c>
      <c r="J339" s="66" t="s">
        <v>52</v>
      </c>
      <c r="K339" s="138" t="s">
        <v>54</v>
      </c>
      <c r="L339" s="139">
        <f>'[1]1. SH,Input dan Outcome'!I318</f>
        <v>0</v>
      </c>
      <c r="M339" s="120">
        <v>1</v>
      </c>
      <c r="N339" s="121" t="s">
        <v>121</v>
      </c>
      <c r="O339" s="121" t="s">
        <v>122</v>
      </c>
      <c r="P339" s="121" t="s">
        <v>123</v>
      </c>
      <c r="Q339" s="122">
        <v>1</v>
      </c>
      <c r="R339" s="134" t="s">
        <v>53</v>
      </c>
      <c r="S339" s="123" t="s">
        <v>124</v>
      </c>
      <c r="T339" s="124">
        <v>200000</v>
      </c>
      <c r="U339" s="125"/>
      <c r="V339" s="36">
        <v>0.75</v>
      </c>
      <c r="W339" s="135">
        <v>0</v>
      </c>
      <c r="X339" s="135">
        <v>0</v>
      </c>
      <c r="Y339" s="135">
        <v>0</v>
      </c>
      <c r="Z339" s="126">
        <f t="shared" si="28"/>
        <v>50000</v>
      </c>
    </row>
    <row r="340" spans="1:26" ht="62.4">
      <c r="A340" s="38"/>
      <c r="B340" s="27">
        <v>30</v>
      </c>
      <c r="C340" s="145" t="s">
        <v>208</v>
      </c>
      <c r="D340" s="101" t="s">
        <v>31</v>
      </c>
      <c r="E340" s="140">
        <v>43</v>
      </c>
      <c r="F340" s="147" t="s">
        <v>192</v>
      </c>
      <c r="G340" s="146" t="s">
        <v>209</v>
      </c>
      <c r="H340" s="131" t="s">
        <v>193</v>
      </c>
      <c r="I340" s="143" t="s">
        <v>205</v>
      </c>
      <c r="J340" s="66" t="s">
        <v>35</v>
      </c>
      <c r="K340" s="138" t="s">
        <v>54</v>
      </c>
      <c r="L340" s="139">
        <f>'[1]1. SH,Input dan Outcome'!I319</f>
        <v>0</v>
      </c>
      <c r="M340" s="120">
        <v>1</v>
      </c>
      <c r="N340" s="121" t="s">
        <v>121</v>
      </c>
      <c r="O340" s="121" t="s">
        <v>122</v>
      </c>
      <c r="P340" s="121" t="s">
        <v>123</v>
      </c>
      <c r="Q340" s="122">
        <v>1</v>
      </c>
      <c r="R340" s="134" t="s">
        <v>53</v>
      </c>
      <c r="S340" s="123" t="s">
        <v>124</v>
      </c>
      <c r="T340" s="124">
        <v>200000</v>
      </c>
      <c r="U340" s="125"/>
      <c r="V340" s="36">
        <v>0.75</v>
      </c>
      <c r="W340" s="135">
        <v>0</v>
      </c>
      <c r="X340" s="135">
        <v>0</v>
      </c>
      <c r="Y340" s="135">
        <v>0</v>
      </c>
      <c r="Z340" s="126">
        <f t="shared" si="28"/>
        <v>50000</v>
      </c>
    </row>
    <row r="341" spans="1:26" ht="62.4">
      <c r="A341" s="38"/>
      <c r="B341" s="27">
        <v>31</v>
      </c>
      <c r="C341" s="145" t="s">
        <v>210</v>
      </c>
      <c r="D341" s="101" t="s">
        <v>31</v>
      </c>
      <c r="E341" s="140">
        <v>47</v>
      </c>
      <c r="F341" s="147" t="s">
        <v>192</v>
      </c>
      <c r="G341" s="143"/>
      <c r="H341" s="131" t="s">
        <v>128</v>
      </c>
      <c r="I341" s="143" t="s">
        <v>205</v>
      </c>
      <c r="J341" s="66" t="s">
        <v>35</v>
      </c>
      <c r="K341" s="138" t="s">
        <v>54</v>
      </c>
      <c r="L341" s="139">
        <f>'[1]1. SH,Input dan Outcome'!I320</f>
        <v>0</v>
      </c>
      <c r="M341" s="120">
        <v>1</v>
      </c>
      <c r="N341" s="121" t="s">
        <v>121</v>
      </c>
      <c r="O341" s="121" t="s">
        <v>122</v>
      </c>
      <c r="P341" s="121" t="s">
        <v>123</v>
      </c>
      <c r="Q341" s="122">
        <v>1</v>
      </c>
      <c r="R341" s="134" t="s">
        <v>53</v>
      </c>
      <c r="S341" s="123" t="s">
        <v>124</v>
      </c>
      <c r="T341" s="124">
        <v>200000</v>
      </c>
      <c r="U341" s="125"/>
      <c r="V341" s="36">
        <v>0.75</v>
      </c>
      <c r="W341" s="135">
        <v>0</v>
      </c>
      <c r="X341" s="135">
        <v>0</v>
      </c>
      <c r="Y341" s="135">
        <v>0</v>
      </c>
      <c r="Z341" s="126">
        <f t="shared" si="28"/>
        <v>50000</v>
      </c>
    </row>
    <row r="342" spans="1:26" ht="62.4">
      <c r="A342" s="38"/>
      <c r="B342" s="27">
        <v>32</v>
      </c>
      <c r="C342" s="145" t="s">
        <v>211</v>
      </c>
      <c r="D342" s="101" t="s">
        <v>49</v>
      </c>
      <c r="E342" s="140">
        <v>37</v>
      </c>
      <c r="F342" s="147" t="s">
        <v>192</v>
      </c>
      <c r="G342" s="146" t="s">
        <v>212</v>
      </c>
      <c r="H342" s="131" t="s">
        <v>128</v>
      </c>
      <c r="I342" s="143" t="s">
        <v>205</v>
      </c>
      <c r="J342" s="66" t="s">
        <v>52</v>
      </c>
      <c r="K342" s="138" t="s">
        <v>54</v>
      </c>
      <c r="L342" s="139">
        <f>'[1]1. SH,Input dan Outcome'!I321</f>
        <v>0</v>
      </c>
      <c r="M342" s="120">
        <v>1</v>
      </c>
      <c r="N342" s="121" t="s">
        <v>121</v>
      </c>
      <c r="O342" s="121" t="s">
        <v>122</v>
      </c>
      <c r="P342" s="121" t="s">
        <v>123</v>
      </c>
      <c r="Q342" s="122">
        <v>1</v>
      </c>
      <c r="R342" s="134" t="s">
        <v>53</v>
      </c>
      <c r="S342" s="123" t="s">
        <v>124</v>
      </c>
      <c r="T342" s="124">
        <v>200000</v>
      </c>
      <c r="U342" s="125"/>
      <c r="V342" s="36">
        <v>0.75</v>
      </c>
      <c r="W342" s="135">
        <v>0</v>
      </c>
      <c r="X342" s="135">
        <v>0</v>
      </c>
      <c r="Y342" s="135">
        <v>0</v>
      </c>
      <c r="Z342" s="126">
        <f t="shared" si="28"/>
        <v>50000</v>
      </c>
    </row>
    <row r="343" spans="1:26" ht="62.4">
      <c r="A343" s="38"/>
      <c r="B343" s="27">
        <v>33</v>
      </c>
      <c r="C343" s="145" t="s">
        <v>213</v>
      </c>
      <c r="D343" s="101" t="s">
        <v>49</v>
      </c>
      <c r="E343" s="140">
        <v>30</v>
      </c>
      <c r="F343" s="147" t="s">
        <v>192</v>
      </c>
      <c r="G343" s="146" t="s">
        <v>214</v>
      </c>
      <c r="H343" s="131" t="s">
        <v>193</v>
      </c>
      <c r="I343" s="143" t="s">
        <v>205</v>
      </c>
      <c r="J343" s="66" t="s">
        <v>52</v>
      </c>
      <c r="K343" s="138" t="s">
        <v>54</v>
      </c>
      <c r="L343" s="139">
        <f>'[1]1. SH,Input dan Outcome'!I322</f>
        <v>0</v>
      </c>
      <c r="M343" s="120">
        <v>1</v>
      </c>
      <c r="N343" s="121" t="s">
        <v>121</v>
      </c>
      <c r="O343" s="121" t="s">
        <v>122</v>
      </c>
      <c r="P343" s="121" t="s">
        <v>123</v>
      </c>
      <c r="Q343" s="122">
        <v>1</v>
      </c>
      <c r="R343" s="134" t="s">
        <v>53</v>
      </c>
      <c r="S343" s="123" t="s">
        <v>124</v>
      </c>
      <c r="T343" s="124">
        <v>200000</v>
      </c>
      <c r="U343" s="125"/>
      <c r="V343" s="36">
        <v>0.75</v>
      </c>
      <c r="W343" s="135">
        <v>0</v>
      </c>
      <c r="X343" s="135">
        <v>0</v>
      </c>
      <c r="Y343" s="135">
        <v>0</v>
      </c>
      <c r="Z343" s="126">
        <f t="shared" si="28"/>
        <v>50000</v>
      </c>
    </row>
    <row r="344" spans="1:26" ht="62.4">
      <c r="A344" s="38"/>
      <c r="B344" s="27">
        <v>34</v>
      </c>
      <c r="C344" s="145" t="s">
        <v>215</v>
      </c>
      <c r="D344" s="101" t="s">
        <v>49</v>
      </c>
      <c r="E344" s="140">
        <v>42</v>
      </c>
      <c r="F344" s="147" t="s">
        <v>192</v>
      </c>
      <c r="G344" s="143"/>
      <c r="H344" s="131" t="s">
        <v>193</v>
      </c>
      <c r="I344" s="143" t="s">
        <v>205</v>
      </c>
      <c r="J344" s="66" t="s">
        <v>52</v>
      </c>
      <c r="K344" s="138" t="s">
        <v>54</v>
      </c>
      <c r="L344" s="139">
        <f>'[1]1. SH,Input dan Outcome'!I323</f>
        <v>0</v>
      </c>
      <c r="M344" s="120">
        <v>1</v>
      </c>
      <c r="N344" s="121" t="s">
        <v>121</v>
      </c>
      <c r="O344" s="121" t="s">
        <v>122</v>
      </c>
      <c r="P344" s="121" t="s">
        <v>123</v>
      </c>
      <c r="Q344" s="122">
        <v>1</v>
      </c>
      <c r="R344" s="134" t="s">
        <v>53</v>
      </c>
      <c r="S344" s="123" t="s">
        <v>124</v>
      </c>
      <c r="T344" s="124">
        <v>200000</v>
      </c>
      <c r="U344" s="125"/>
      <c r="V344" s="36">
        <v>0.75</v>
      </c>
      <c r="W344" s="135">
        <v>0</v>
      </c>
      <c r="X344" s="135">
        <v>0</v>
      </c>
      <c r="Y344" s="135">
        <v>0</v>
      </c>
      <c r="Z344" s="126">
        <f t="shared" si="28"/>
        <v>50000</v>
      </c>
    </row>
    <row r="345" spans="1:26" ht="62.4">
      <c r="A345" s="38"/>
      <c r="B345" s="27">
        <v>35</v>
      </c>
      <c r="C345" s="145" t="s">
        <v>216</v>
      </c>
      <c r="D345" s="101" t="s">
        <v>49</v>
      </c>
      <c r="E345" s="140">
        <v>31</v>
      </c>
      <c r="F345" s="147" t="s">
        <v>192</v>
      </c>
      <c r="G345" s="146" t="s">
        <v>217</v>
      </c>
      <c r="H345" s="131" t="s">
        <v>128</v>
      </c>
      <c r="I345" s="143" t="s">
        <v>205</v>
      </c>
      <c r="J345" s="66" t="s">
        <v>52</v>
      </c>
      <c r="K345" s="138" t="s">
        <v>54</v>
      </c>
      <c r="L345" s="139">
        <f>'[1]1. SH,Input dan Outcome'!I324</f>
        <v>0</v>
      </c>
      <c r="M345" s="120">
        <v>1</v>
      </c>
      <c r="N345" s="121" t="s">
        <v>121</v>
      </c>
      <c r="O345" s="121" t="s">
        <v>122</v>
      </c>
      <c r="P345" s="121" t="s">
        <v>123</v>
      </c>
      <c r="Q345" s="122">
        <v>1</v>
      </c>
      <c r="R345" s="134" t="s">
        <v>53</v>
      </c>
      <c r="S345" s="123" t="s">
        <v>124</v>
      </c>
      <c r="T345" s="124">
        <v>200000</v>
      </c>
      <c r="U345" s="125"/>
      <c r="V345" s="36">
        <v>0.75</v>
      </c>
      <c r="W345" s="135">
        <v>0</v>
      </c>
      <c r="X345" s="135">
        <v>0</v>
      </c>
      <c r="Y345" s="135">
        <v>0</v>
      </c>
      <c r="Z345" s="126">
        <f t="shared" si="28"/>
        <v>50000</v>
      </c>
    </row>
    <row r="346" spans="1:26" ht="62.4">
      <c r="A346" s="38"/>
      <c r="B346" s="27">
        <v>36</v>
      </c>
      <c r="C346" s="145" t="s">
        <v>218</v>
      </c>
      <c r="D346" s="101" t="s">
        <v>31</v>
      </c>
      <c r="E346" s="140">
        <v>38</v>
      </c>
      <c r="F346" s="147" t="s">
        <v>192</v>
      </c>
      <c r="G346" s="146" t="s">
        <v>219</v>
      </c>
      <c r="H346" s="131" t="s">
        <v>200</v>
      </c>
      <c r="I346" s="143" t="s">
        <v>205</v>
      </c>
      <c r="J346" s="66" t="s">
        <v>35</v>
      </c>
      <c r="K346" s="138" t="s">
        <v>54</v>
      </c>
      <c r="L346" s="139">
        <f>'[1]1. SH,Input dan Outcome'!I325</f>
        <v>0</v>
      </c>
      <c r="M346" s="120">
        <v>1</v>
      </c>
      <c r="N346" s="121" t="s">
        <v>121</v>
      </c>
      <c r="O346" s="121" t="s">
        <v>122</v>
      </c>
      <c r="P346" s="121" t="s">
        <v>123</v>
      </c>
      <c r="Q346" s="122">
        <v>1</v>
      </c>
      <c r="R346" s="134" t="s">
        <v>53</v>
      </c>
      <c r="S346" s="123" t="s">
        <v>124</v>
      </c>
      <c r="T346" s="124">
        <v>200000</v>
      </c>
      <c r="U346" s="125"/>
      <c r="V346" s="36">
        <v>0.75</v>
      </c>
      <c r="W346" s="135">
        <v>0</v>
      </c>
      <c r="X346" s="135">
        <v>0</v>
      </c>
      <c r="Y346" s="135">
        <v>0</v>
      </c>
      <c r="Z346" s="126">
        <f t="shared" si="28"/>
        <v>50000</v>
      </c>
    </row>
    <row r="347" spans="1:26" ht="62.4">
      <c r="A347" s="38"/>
      <c r="B347" s="27">
        <v>37</v>
      </c>
      <c r="C347" s="145" t="s">
        <v>220</v>
      </c>
      <c r="D347" s="101" t="s">
        <v>31</v>
      </c>
      <c r="E347" s="140">
        <v>44</v>
      </c>
      <c r="F347" s="147" t="s">
        <v>192</v>
      </c>
      <c r="G347" s="146" t="s">
        <v>221</v>
      </c>
      <c r="H347" s="131" t="s">
        <v>193</v>
      </c>
      <c r="I347" s="143" t="s">
        <v>205</v>
      </c>
      <c r="J347" s="66" t="s">
        <v>35</v>
      </c>
      <c r="K347" s="138" t="s">
        <v>54</v>
      </c>
      <c r="L347" s="139">
        <f>'[1]1. SH,Input dan Outcome'!I326</f>
        <v>0</v>
      </c>
      <c r="M347" s="120">
        <v>1</v>
      </c>
      <c r="N347" s="121" t="s">
        <v>121</v>
      </c>
      <c r="O347" s="121" t="s">
        <v>122</v>
      </c>
      <c r="P347" s="121" t="s">
        <v>123</v>
      </c>
      <c r="Q347" s="122">
        <v>1</v>
      </c>
      <c r="R347" s="134" t="s">
        <v>53</v>
      </c>
      <c r="S347" s="123" t="s">
        <v>124</v>
      </c>
      <c r="T347" s="124">
        <v>200000</v>
      </c>
      <c r="U347" s="125"/>
      <c r="V347" s="36">
        <v>0.75</v>
      </c>
      <c r="W347" s="135">
        <v>0</v>
      </c>
      <c r="X347" s="135">
        <v>0</v>
      </c>
      <c r="Y347" s="135">
        <v>0</v>
      </c>
      <c r="Z347" s="126">
        <f t="shared" si="28"/>
        <v>50000</v>
      </c>
    </row>
    <row r="348" spans="1:26" ht="62.4">
      <c r="A348" s="38"/>
      <c r="B348" s="27">
        <v>38</v>
      </c>
      <c r="C348" s="145" t="s">
        <v>222</v>
      </c>
      <c r="D348" s="101" t="s">
        <v>49</v>
      </c>
      <c r="E348" s="140">
        <v>29</v>
      </c>
      <c r="F348" s="147" t="s">
        <v>192</v>
      </c>
      <c r="G348" s="146" t="s">
        <v>223</v>
      </c>
      <c r="H348" s="131" t="s">
        <v>128</v>
      </c>
      <c r="I348" s="143" t="s">
        <v>205</v>
      </c>
      <c r="J348" s="66" t="s">
        <v>195</v>
      </c>
      <c r="K348" s="138" t="s">
        <v>54</v>
      </c>
      <c r="L348" s="139">
        <f>'[1]1. SH,Input dan Outcome'!I327</f>
        <v>0</v>
      </c>
      <c r="M348" s="120">
        <v>1</v>
      </c>
      <c r="N348" s="121" t="s">
        <v>121</v>
      </c>
      <c r="O348" s="121" t="s">
        <v>122</v>
      </c>
      <c r="P348" s="121" t="s">
        <v>123</v>
      </c>
      <c r="Q348" s="122">
        <v>1</v>
      </c>
      <c r="R348" s="134" t="s">
        <v>53</v>
      </c>
      <c r="S348" s="123" t="s">
        <v>124</v>
      </c>
      <c r="T348" s="124">
        <v>200000</v>
      </c>
      <c r="U348" s="125"/>
      <c r="V348" s="36">
        <v>0.75</v>
      </c>
      <c r="W348" s="135">
        <v>0</v>
      </c>
      <c r="X348" s="135">
        <v>0</v>
      </c>
      <c r="Y348" s="135">
        <v>0</v>
      </c>
      <c r="Z348" s="126">
        <f t="shared" si="28"/>
        <v>50000</v>
      </c>
    </row>
    <row r="349" spans="1:26" ht="62.4">
      <c r="A349" s="38"/>
      <c r="B349" s="27">
        <v>39</v>
      </c>
      <c r="C349" s="145" t="s">
        <v>224</v>
      </c>
      <c r="D349" s="101" t="s">
        <v>49</v>
      </c>
      <c r="E349" s="140">
        <v>51</v>
      </c>
      <c r="F349" s="147" t="s">
        <v>192</v>
      </c>
      <c r="G349" s="146" t="s">
        <v>225</v>
      </c>
      <c r="H349" s="131" t="s">
        <v>128</v>
      </c>
      <c r="I349" s="143" t="s">
        <v>205</v>
      </c>
      <c r="J349" s="66" t="s">
        <v>35</v>
      </c>
      <c r="K349" s="138" t="s">
        <v>54</v>
      </c>
      <c r="L349" s="139">
        <f>'[1]1. SH,Input dan Outcome'!I328</f>
        <v>0</v>
      </c>
      <c r="M349" s="120">
        <v>1</v>
      </c>
      <c r="N349" s="121" t="s">
        <v>121</v>
      </c>
      <c r="O349" s="121" t="s">
        <v>122</v>
      </c>
      <c r="P349" s="121" t="s">
        <v>123</v>
      </c>
      <c r="Q349" s="122">
        <v>1</v>
      </c>
      <c r="R349" s="134" t="s">
        <v>53</v>
      </c>
      <c r="S349" s="123" t="s">
        <v>124</v>
      </c>
      <c r="T349" s="124">
        <v>200000</v>
      </c>
      <c r="U349" s="125"/>
      <c r="V349" s="36">
        <v>0.75</v>
      </c>
      <c r="W349" s="135">
        <v>0</v>
      </c>
      <c r="X349" s="135">
        <v>0</v>
      </c>
      <c r="Y349" s="135">
        <v>0</v>
      </c>
      <c r="Z349" s="126">
        <f t="shared" si="28"/>
        <v>50000</v>
      </c>
    </row>
    <row r="350" spans="1:26" ht="62.4">
      <c r="A350" s="38"/>
      <c r="B350" s="27">
        <v>40</v>
      </c>
      <c r="C350" s="145" t="s">
        <v>226</v>
      </c>
      <c r="D350" s="101" t="s">
        <v>49</v>
      </c>
      <c r="E350" s="140">
        <v>40</v>
      </c>
      <c r="F350" s="147" t="s">
        <v>192</v>
      </c>
      <c r="G350" s="143"/>
      <c r="H350" s="131" t="s">
        <v>128</v>
      </c>
      <c r="I350" s="143" t="s">
        <v>205</v>
      </c>
      <c r="J350" s="66" t="s">
        <v>52</v>
      </c>
      <c r="K350" s="138" t="s">
        <v>54</v>
      </c>
      <c r="L350" s="139">
        <f>'[1]1. SH,Input dan Outcome'!I329</f>
        <v>0</v>
      </c>
      <c r="M350" s="120">
        <v>1</v>
      </c>
      <c r="N350" s="121" t="s">
        <v>121</v>
      </c>
      <c r="O350" s="121" t="s">
        <v>122</v>
      </c>
      <c r="P350" s="121" t="s">
        <v>123</v>
      </c>
      <c r="Q350" s="122">
        <v>1</v>
      </c>
      <c r="R350" s="134" t="s">
        <v>53</v>
      </c>
      <c r="S350" s="123" t="s">
        <v>124</v>
      </c>
      <c r="T350" s="124">
        <v>200000</v>
      </c>
      <c r="U350" s="125"/>
      <c r="V350" s="36">
        <v>0.75</v>
      </c>
      <c r="W350" s="135">
        <v>0</v>
      </c>
      <c r="X350" s="135">
        <v>0</v>
      </c>
      <c r="Y350" s="135">
        <v>0</v>
      </c>
      <c r="Z350" s="126">
        <f t="shared" si="28"/>
        <v>50000</v>
      </c>
    </row>
    <row r="351" spans="1:26" ht="62.4">
      <c r="A351" s="38"/>
      <c r="B351" s="27">
        <v>41</v>
      </c>
      <c r="C351" s="145" t="s">
        <v>227</v>
      </c>
      <c r="D351" s="101" t="s">
        <v>49</v>
      </c>
      <c r="E351" s="140">
        <v>30</v>
      </c>
      <c r="F351" s="147" t="s">
        <v>192</v>
      </c>
      <c r="G351" s="146" t="s">
        <v>228</v>
      </c>
      <c r="H351" s="131" t="s">
        <v>128</v>
      </c>
      <c r="I351" s="143" t="s">
        <v>205</v>
      </c>
      <c r="J351" s="66" t="s">
        <v>52</v>
      </c>
      <c r="K351" s="138" t="s">
        <v>54</v>
      </c>
      <c r="L351" s="139">
        <f>'[1]1. SH,Input dan Outcome'!I330</f>
        <v>0</v>
      </c>
      <c r="M351" s="120">
        <v>1</v>
      </c>
      <c r="N351" s="121" t="s">
        <v>121</v>
      </c>
      <c r="O351" s="121" t="s">
        <v>122</v>
      </c>
      <c r="P351" s="121" t="s">
        <v>123</v>
      </c>
      <c r="Q351" s="122">
        <v>1</v>
      </c>
      <c r="R351" s="134" t="s">
        <v>53</v>
      </c>
      <c r="S351" s="123" t="s">
        <v>124</v>
      </c>
      <c r="T351" s="124">
        <v>200000</v>
      </c>
      <c r="U351" s="125"/>
      <c r="V351" s="36">
        <v>0.75</v>
      </c>
      <c r="W351" s="135">
        <v>0</v>
      </c>
      <c r="X351" s="135">
        <v>0</v>
      </c>
      <c r="Y351" s="135">
        <v>0</v>
      </c>
      <c r="Z351" s="126">
        <f t="shared" si="28"/>
        <v>50000</v>
      </c>
    </row>
    <row r="352" spans="1:26" ht="62.4">
      <c r="A352" s="38"/>
      <c r="B352" s="27">
        <v>42</v>
      </c>
      <c r="C352" s="145" t="s">
        <v>229</v>
      </c>
      <c r="D352" s="101" t="s">
        <v>49</v>
      </c>
      <c r="E352" s="140">
        <v>33</v>
      </c>
      <c r="F352" s="147" t="s">
        <v>192</v>
      </c>
      <c r="G352" s="146" t="s">
        <v>230</v>
      </c>
      <c r="H352" s="131" t="s">
        <v>128</v>
      </c>
      <c r="I352" s="143" t="s">
        <v>205</v>
      </c>
      <c r="J352" s="66" t="s">
        <v>195</v>
      </c>
      <c r="K352" s="138" t="s">
        <v>54</v>
      </c>
      <c r="L352" s="139">
        <f>'[1]1. SH,Input dan Outcome'!I331</f>
        <v>0</v>
      </c>
      <c r="M352" s="120">
        <v>1</v>
      </c>
      <c r="N352" s="121" t="s">
        <v>121</v>
      </c>
      <c r="O352" s="121" t="s">
        <v>122</v>
      </c>
      <c r="P352" s="121" t="s">
        <v>123</v>
      </c>
      <c r="Q352" s="122">
        <v>1</v>
      </c>
      <c r="R352" s="134" t="s">
        <v>53</v>
      </c>
      <c r="S352" s="123" t="s">
        <v>124</v>
      </c>
      <c r="T352" s="124">
        <v>200000</v>
      </c>
      <c r="U352" s="125"/>
      <c r="V352" s="36">
        <v>0.75</v>
      </c>
      <c r="W352" s="135">
        <v>0</v>
      </c>
      <c r="X352" s="135">
        <v>0</v>
      </c>
      <c r="Y352" s="135">
        <v>0</v>
      </c>
      <c r="Z352" s="126">
        <f t="shared" si="28"/>
        <v>50000</v>
      </c>
    </row>
    <row r="353" spans="1:26" ht="62.4">
      <c r="A353" s="38"/>
      <c r="B353" s="27">
        <v>43</v>
      </c>
      <c r="C353" s="145" t="s">
        <v>231</v>
      </c>
      <c r="D353" s="101" t="s">
        <v>49</v>
      </c>
      <c r="E353" s="140">
        <v>42</v>
      </c>
      <c r="F353" s="147" t="s">
        <v>192</v>
      </c>
      <c r="G353" s="146" t="s">
        <v>232</v>
      </c>
      <c r="H353" s="131" t="s">
        <v>193</v>
      </c>
      <c r="I353" s="143" t="s">
        <v>205</v>
      </c>
      <c r="J353" s="66" t="s">
        <v>52</v>
      </c>
      <c r="K353" s="138" t="s">
        <v>54</v>
      </c>
      <c r="L353" s="139">
        <f>'[1]1. SH,Input dan Outcome'!I332</f>
        <v>0</v>
      </c>
      <c r="M353" s="120">
        <v>1</v>
      </c>
      <c r="N353" s="121" t="s">
        <v>121</v>
      </c>
      <c r="O353" s="121" t="s">
        <v>122</v>
      </c>
      <c r="P353" s="121" t="s">
        <v>123</v>
      </c>
      <c r="Q353" s="122">
        <v>1</v>
      </c>
      <c r="R353" s="134" t="s">
        <v>53</v>
      </c>
      <c r="S353" s="123" t="s">
        <v>124</v>
      </c>
      <c r="T353" s="124">
        <v>200000</v>
      </c>
      <c r="U353" s="125"/>
      <c r="V353" s="36">
        <v>0.75</v>
      </c>
      <c r="W353" s="135">
        <v>0</v>
      </c>
      <c r="X353" s="135">
        <v>0</v>
      </c>
      <c r="Y353" s="135">
        <v>0</v>
      </c>
      <c r="Z353" s="126">
        <f t="shared" si="28"/>
        <v>50000</v>
      </c>
    </row>
    <row r="355" spans="1:26" ht="15.6">
      <c r="A355" s="96"/>
      <c r="B355" s="96"/>
      <c r="C355" s="96"/>
      <c r="D355" s="3" t="e">
        <f>CONCATENATE('[1]1. SH,Input dan Outcome'!#REF!)</f>
        <v>#REF!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2" thickBot="1">
      <c r="A356" s="86" t="s">
        <v>59</v>
      </c>
      <c r="B356" s="87"/>
      <c r="C356" s="88"/>
      <c r="D356" s="89" t="e">
        <f>CONCATENATE('[1]1. SH,Input dan Outcome'!#REF!)</f>
        <v>#REF!</v>
      </c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6.2" thickBot="1">
      <c r="A357" s="7" t="s">
        <v>2</v>
      </c>
      <c r="B357" s="90"/>
      <c r="C357" s="91"/>
      <c r="D357" s="92" t="s">
        <v>3</v>
      </c>
      <c r="E357" s="6"/>
      <c r="F357" s="6"/>
      <c r="G357" s="6"/>
      <c r="H357" s="6"/>
      <c r="I357" s="6"/>
      <c r="J357" s="6"/>
      <c r="K357" s="6"/>
      <c r="L357" s="6"/>
      <c r="M357" s="6"/>
      <c r="N357" s="92" t="s">
        <v>4</v>
      </c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93"/>
    </row>
    <row r="358" spans="1:26" ht="118.8">
      <c r="A358" s="61" t="s">
        <v>2</v>
      </c>
      <c r="B358" s="13" t="s">
        <v>5</v>
      </c>
      <c r="C358" s="13" t="s">
        <v>6</v>
      </c>
      <c r="D358" s="14" t="s">
        <v>7</v>
      </c>
      <c r="E358" s="15" t="s">
        <v>8</v>
      </c>
      <c r="F358" s="14" t="s">
        <v>9</v>
      </c>
      <c r="G358" s="15" t="s">
        <v>10</v>
      </c>
      <c r="H358" s="15" t="s">
        <v>11</v>
      </c>
      <c r="I358" s="15" t="s">
        <v>12</v>
      </c>
      <c r="J358" s="14" t="s">
        <v>13</v>
      </c>
      <c r="K358" s="62" t="s">
        <v>14</v>
      </c>
      <c r="L358" s="63" t="s">
        <v>15</v>
      </c>
      <c r="M358" s="63" t="s">
        <v>16</v>
      </c>
      <c r="N358" s="18" t="s">
        <v>17</v>
      </c>
      <c r="O358" s="19" t="s">
        <v>18</v>
      </c>
      <c r="P358" s="19" t="s">
        <v>19</v>
      </c>
      <c r="Q358" s="19" t="s">
        <v>20</v>
      </c>
      <c r="R358" s="19" t="s">
        <v>21</v>
      </c>
      <c r="S358" s="20" t="s">
        <v>22</v>
      </c>
      <c r="T358" s="21" t="s">
        <v>23</v>
      </c>
      <c r="U358" s="20" t="s">
        <v>24</v>
      </c>
      <c r="V358" s="64" t="s">
        <v>25</v>
      </c>
      <c r="W358" s="64" t="s">
        <v>26</v>
      </c>
      <c r="X358" s="64" t="s">
        <v>27</v>
      </c>
      <c r="Y358" s="64" t="s">
        <v>28</v>
      </c>
      <c r="Z358" s="23" t="s">
        <v>29</v>
      </c>
    </row>
    <row r="359" spans="1:26" ht="109.2">
      <c r="A359" s="76"/>
      <c r="B359" s="27">
        <v>1</v>
      </c>
      <c r="C359" s="116" t="s">
        <v>116</v>
      </c>
      <c r="D359" s="101" t="s">
        <v>31</v>
      </c>
      <c r="E359" s="117">
        <v>24</v>
      </c>
      <c r="F359" s="118" t="s">
        <v>117</v>
      </c>
      <c r="G359" s="119" t="s">
        <v>118</v>
      </c>
      <c r="H359" s="27" t="s">
        <v>33</v>
      </c>
      <c r="I359" s="118" t="s">
        <v>119</v>
      </c>
      <c r="J359" s="66" t="s">
        <v>120</v>
      </c>
      <c r="K359" s="31" t="s">
        <v>36</v>
      </c>
      <c r="L359" s="27"/>
      <c r="M359" s="120">
        <v>1</v>
      </c>
      <c r="N359" s="27" t="s">
        <v>233</v>
      </c>
      <c r="O359" s="27" t="s">
        <v>234</v>
      </c>
      <c r="P359" s="27" t="s">
        <v>235</v>
      </c>
      <c r="Q359" s="122">
        <v>1</v>
      </c>
      <c r="R359" s="94" t="s">
        <v>81</v>
      </c>
      <c r="S359" s="123" t="s">
        <v>236</v>
      </c>
      <c r="T359" s="124">
        <v>1000000</v>
      </c>
      <c r="U359" s="125" t="s">
        <v>237</v>
      </c>
      <c r="V359" s="36">
        <v>0.4</v>
      </c>
      <c r="W359" s="36">
        <v>0</v>
      </c>
      <c r="X359" s="36">
        <v>0</v>
      </c>
      <c r="Y359" s="36">
        <v>0</v>
      </c>
      <c r="Z359" s="27">
        <f>T359*(1-V359)*(1-W359)*(1-X359)*(1-Y359)</f>
        <v>600000</v>
      </c>
    </row>
    <row r="360" spans="1:26" ht="62.4">
      <c r="A360" s="38"/>
      <c r="B360" s="27">
        <v>2</v>
      </c>
      <c r="C360" s="127" t="s">
        <v>125</v>
      </c>
      <c r="D360" s="101" t="s">
        <v>31</v>
      </c>
      <c r="E360" s="128">
        <v>34</v>
      </c>
      <c r="F360" s="129" t="s">
        <v>126</v>
      </c>
      <c r="G360" s="130" t="s">
        <v>127</v>
      </c>
      <c r="H360" s="131" t="s">
        <v>128</v>
      </c>
      <c r="I360" s="129" t="s">
        <v>129</v>
      </c>
      <c r="J360" s="66" t="s">
        <v>35</v>
      </c>
      <c r="K360" s="132" t="s">
        <v>54</v>
      </c>
      <c r="L360" s="133">
        <f>'[1]1. SH,Input dan Outcome'!I322</f>
        <v>0</v>
      </c>
      <c r="M360" s="120">
        <v>1</v>
      </c>
      <c r="N360" s="27" t="s">
        <v>233</v>
      </c>
      <c r="O360" s="27" t="s">
        <v>234</v>
      </c>
      <c r="P360" s="27" t="s">
        <v>235</v>
      </c>
      <c r="Q360" s="122">
        <v>1</v>
      </c>
      <c r="R360" s="134" t="s">
        <v>53</v>
      </c>
      <c r="S360" s="123" t="s">
        <v>236</v>
      </c>
      <c r="T360" s="124">
        <v>1000000</v>
      </c>
      <c r="U360" s="125" t="s">
        <v>237</v>
      </c>
      <c r="V360" s="135">
        <v>0</v>
      </c>
      <c r="W360" s="135">
        <v>0</v>
      </c>
      <c r="X360" s="135">
        <v>0</v>
      </c>
      <c r="Y360" s="135">
        <v>0</v>
      </c>
      <c r="Z360" s="126">
        <f t="shared" ref="Z360:Z365" si="29">T360*(1-V360)*(1-W360)*(1-X360)*(1-Y360)</f>
        <v>1000000</v>
      </c>
    </row>
    <row r="361" spans="1:26" ht="62.4">
      <c r="A361" s="38"/>
      <c r="B361" s="27">
        <v>3</v>
      </c>
      <c r="C361" s="116" t="s">
        <v>130</v>
      </c>
      <c r="D361" s="101" t="s">
        <v>49</v>
      </c>
      <c r="E361" s="117">
        <v>36</v>
      </c>
      <c r="F361" s="118" t="s">
        <v>131</v>
      </c>
      <c r="G361" s="119" t="s">
        <v>132</v>
      </c>
      <c r="H361" s="131" t="s">
        <v>128</v>
      </c>
      <c r="I361" s="118" t="s">
        <v>119</v>
      </c>
      <c r="J361" s="66" t="s">
        <v>52</v>
      </c>
      <c r="K361" s="132" t="s">
        <v>54</v>
      </c>
      <c r="L361" s="133">
        <f>'[1]1. SH,Input dan Outcome'!I323</f>
        <v>0</v>
      </c>
      <c r="M361" s="120">
        <v>1</v>
      </c>
      <c r="N361" s="27" t="s">
        <v>233</v>
      </c>
      <c r="O361" s="27" t="s">
        <v>234</v>
      </c>
      <c r="P361" s="27" t="s">
        <v>235</v>
      </c>
      <c r="Q361" s="122">
        <v>1</v>
      </c>
      <c r="R361" s="134" t="s">
        <v>53</v>
      </c>
      <c r="S361" s="123" t="s">
        <v>236</v>
      </c>
      <c r="T361" s="124">
        <v>1000000</v>
      </c>
      <c r="U361" s="125" t="s">
        <v>237</v>
      </c>
      <c r="V361" s="135">
        <v>0</v>
      </c>
      <c r="W361" s="135">
        <v>0</v>
      </c>
      <c r="X361" s="135">
        <v>0</v>
      </c>
      <c r="Y361" s="135">
        <v>0</v>
      </c>
      <c r="Z361" s="126">
        <f t="shared" si="29"/>
        <v>1000000</v>
      </c>
    </row>
    <row r="362" spans="1:26" ht="62.4">
      <c r="A362" s="38"/>
      <c r="B362" s="27">
        <v>4</v>
      </c>
      <c r="C362" s="127" t="s">
        <v>133</v>
      </c>
      <c r="D362" s="101" t="s">
        <v>49</v>
      </c>
      <c r="E362" s="128">
        <v>32</v>
      </c>
      <c r="F362" s="129" t="s">
        <v>126</v>
      </c>
      <c r="G362" s="136" t="s">
        <v>134</v>
      </c>
      <c r="H362" s="131" t="s">
        <v>128</v>
      </c>
      <c r="I362" s="129" t="s">
        <v>135</v>
      </c>
      <c r="J362" s="66" t="s">
        <v>52</v>
      </c>
      <c r="K362" s="132" t="s">
        <v>54</v>
      </c>
      <c r="L362" s="133">
        <f>'[1]1. SH,Input dan Outcome'!I324</f>
        <v>0</v>
      </c>
      <c r="M362" s="120">
        <v>1</v>
      </c>
      <c r="N362" s="27" t="s">
        <v>233</v>
      </c>
      <c r="O362" s="27" t="s">
        <v>234</v>
      </c>
      <c r="P362" s="27" t="s">
        <v>235</v>
      </c>
      <c r="Q362" s="122">
        <v>1</v>
      </c>
      <c r="R362" s="134" t="s">
        <v>53</v>
      </c>
      <c r="S362" s="123" t="s">
        <v>236</v>
      </c>
      <c r="T362" s="124">
        <v>1000000</v>
      </c>
      <c r="U362" s="125" t="s">
        <v>237</v>
      </c>
      <c r="V362" s="135">
        <v>0</v>
      </c>
      <c r="W362" s="135">
        <v>0</v>
      </c>
      <c r="X362" s="135">
        <v>0</v>
      </c>
      <c r="Y362" s="135">
        <v>0</v>
      </c>
      <c r="Z362" s="126">
        <f t="shared" si="29"/>
        <v>1000000</v>
      </c>
    </row>
    <row r="363" spans="1:26" ht="62.4">
      <c r="A363" s="38"/>
      <c r="B363" s="27">
        <v>5</v>
      </c>
      <c r="C363" s="116" t="s">
        <v>136</v>
      </c>
      <c r="D363" s="101" t="s">
        <v>49</v>
      </c>
      <c r="E363" s="117">
        <v>41</v>
      </c>
      <c r="F363" s="118" t="s">
        <v>126</v>
      </c>
      <c r="G363" s="119" t="s">
        <v>137</v>
      </c>
      <c r="H363" s="131" t="s">
        <v>128</v>
      </c>
      <c r="I363" s="118" t="s">
        <v>72</v>
      </c>
      <c r="J363" s="66" t="s">
        <v>52</v>
      </c>
      <c r="K363" s="132" t="s">
        <v>54</v>
      </c>
      <c r="L363" s="133">
        <f>'[1]1. SH,Input dan Outcome'!I325</f>
        <v>0</v>
      </c>
      <c r="M363" s="120">
        <v>1</v>
      </c>
      <c r="N363" s="27" t="s">
        <v>233</v>
      </c>
      <c r="O363" s="27" t="s">
        <v>234</v>
      </c>
      <c r="P363" s="27" t="s">
        <v>235</v>
      </c>
      <c r="Q363" s="122">
        <v>1</v>
      </c>
      <c r="R363" s="134" t="s">
        <v>53</v>
      </c>
      <c r="S363" s="123" t="s">
        <v>236</v>
      </c>
      <c r="T363" s="124">
        <v>1000000</v>
      </c>
      <c r="U363" s="125" t="s">
        <v>237</v>
      </c>
      <c r="V363" s="135">
        <v>0</v>
      </c>
      <c r="W363" s="135">
        <v>0</v>
      </c>
      <c r="X363" s="135">
        <v>0</v>
      </c>
      <c r="Y363" s="135">
        <v>0</v>
      </c>
      <c r="Z363" s="126">
        <f t="shared" si="29"/>
        <v>1000000</v>
      </c>
    </row>
    <row r="364" spans="1:26" ht="62.4">
      <c r="A364" s="38"/>
      <c r="B364" s="27">
        <v>6</v>
      </c>
      <c r="C364" s="127" t="s">
        <v>138</v>
      </c>
      <c r="D364" s="101" t="s">
        <v>49</v>
      </c>
      <c r="E364" s="128">
        <v>17</v>
      </c>
      <c r="F364" s="129" t="s">
        <v>139</v>
      </c>
      <c r="G364" s="136" t="s">
        <v>140</v>
      </c>
      <c r="H364" s="131" t="s">
        <v>128</v>
      </c>
      <c r="I364" s="129" t="s">
        <v>141</v>
      </c>
      <c r="J364" s="66" t="s">
        <v>120</v>
      </c>
      <c r="K364" s="132" t="s">
        <v>54</v>
      </c>
      <c r="L364" s="133">
        <f>'[1]1. SH,Input dan Outcome'!I326</f>
        <v>0</v>
      </c>
      <c r="M364" s="120">
        <v>1</v>
      </c>
      <c r="N364" s="27" t="s">
        <v>233</v>
      </c>
      <c r="O364" s="27" t="s">
        <v>234</v>
      </c>
      <c r="P364" s="27" t="s">
        <v>235</v>
      </c>
      <c r="Q364" s="122">
        <v>1</v>
      </c>
      <c r="R364" s="134" t="s">
        <v>53</v>
      </c>
      <c r="S364" s="123" t="s">
        <v>236</v>
      </c>
      <c r="T364" s="124">
        <v>0</v>
      </c>
      <c r="U364" s="125" t="s">
        <v>237</v>
      </c>
      <c r="V364" s="135">
        <v>0</v>
      </c>
      <c r="W364" s="135">
        <v>0</v>
      </c>
      <c r="X364" s="135">
        <v>0</v>
      </c>
      <c r="Y364" s="135">
        <v>0</v>
      </c>
      <c r="Z364" s="126">
        <f t="shared" si="29"/>
        <v>0</v>
      </c>
    </row>
    <row r="365" spans="1:26" ht="62.4">
      <c r="A365" s="38"/>
      <c r="B365" s="27">
        <v>7</v>
      </c>
      <c r="C365" s="116" t="s">
        <v>142</v>
      </c>
      <c r="D365" s="101" t="s">
        <v>49</v>
      </c>
      <c r="E365" s="117">
        <v>17</v>
      </c>
      <c r="F365" s="118" t="s">
        <v>143</v>
      </c>
      <c r="G365" s="119" t="s">
        <v>144</v>
      </c>
      <c r="H365" s="131" t="s">
        <v>128</v>
      </c>
      <c r="I365" s="118" t="s">
        <v>141</v>
      </c>
      <c r="J365" s="66" t="s">
        <v>120</v>
      </c>
      <c r="K365" s="132" t="s">
        <v>54</v>
      </c>
      <c r="L365" s="137">
        <f>'[1]1. SH,Input dan Outcome'!I327</f>
        <v>0</v>
      </c>
      <c r="M365" s="120">
        <v>1</v>
      </c>
      <c r="N365" s="27" t="s">
        <v>233</v>
      </c>
      <c r="O365" s="27" t="s">
        <v>234</v>
      </c>
      <c r="P365" s="27" t="s">
        <v>235</v>
      </c>
      <c r="Q365" s="122">
        <v>1</v>
      </c>
      <c r="R365" s="134" t="s">
        <v>53</v>
      </c>
      <c r="S365" s="123" t="s">
        <v>236</v>
      </c>
      <c r="T365" s="124">
        <v>0</v>
      </c>
      <c r="U365" s="125" t="s">
        <v>237</v>
      </c>
      <c r="V365" s="135">
        <v>0</v>
      </c>
      <c r="W365" s="135">
        <v>0</v>
      </c>
      <c r="X365" s="135">
        <v>0</v>
      </c>
      <c r="Y365" s="135">
        <v>0</v>
      </c>
      <c r="Z365" s="126">
        <f t="shared" si="29"/>
        <v>0</v>
      </c>
    </row>
  </sheetData>
  <mergeCells count="64">
    <mergeCell ref="D357:M357"/>
    <mergeCell ref="N357:Z357"/>
    <mergeCell ref="D307:Z307"/>
    <mergeCell ref="D308:Z308"/>
    <mergeCell ref="D309:M309"/>
    <mergeCell ref="N309:Z309"/>
    <mergeCell ref="D355:Z355"/>
    <mergeCell ref="D356:Z356"/>
    <mergeCell ref="D293:Z293"/>
    <mergeCell ref="D294:M294"/>
    <mergeCell ref="N294:Z294"/>
    <mergeCell ref="D300:Z300"/>
    <mergeCell ref="D301:M301"/>
    <mergeCell ref="N301:Z301"/>
    <mergeCell ref="D229:Z229"/>
    <mergeCell ref="D230:M230"/>
    <mergeCell ref="N230:Z230"/>
    <mergeCell ref="D285:Z285"/>
    <mergeCell ref="D286:Z286"/>
    <mergeCell ref="D287:M287"/>
    <mergeCell ref="N287:Z287"/>
    <mergeCell ref="D162:Z162"/>
    <mergeCell ref="D163:M163"/>
    <mergeCell ref="N163:Z163"/>
    <mergeCell ref="D219:Z219"/>
    <mergeCell ref="D220:M220"/>
    <mergeCell ref="N220:Z220"/>
    <mergeCell ref="D98:Z98"/>
    <mergeCell ref="D99:Z99"/>
    <mergeCell ref="D100:M100"/>
    <mergeCell ref="N100:Z100"/>
    <mergeCell ref="D106:Z106"/>
    <mergeCell ref="D107:M107"/>
    <mergeCell ref="N107:Z107"/>
    <mergeCell ref="B37:Z37"/>
    <mergeCell ref="B38:J38"/>
    <mergeCell ref="K38:Z38"/>
    <mergeCell ref="D45:Z45"/>
    <mergeCell ref="D46:M46"/>
    <mergeCell ref="N46:Z46"/>
    <mergeCell ref="A25:A26"/>
    <mergeCell ref="A29:Z29"/>
    <mergeCell ref="B30:Z30"/>
    <mergeCell ref="B31:J31"/>
    <mergeCell ref="K31:Z31"/>
    <mergeCell ref="D36:Z36"/>
    <mergeCell ref="B18:J18"/>
    <mergeCell ref="K18:Z18"/>
    <mergeCell ref="A19:A20"/>
    <mergeCell ref="B23:Z23"/>
    <mergeCell ref="B24:J24"/>
    <mergeCell ref="K24:Z24"/>
    <mergeCell ref="B9:Z9"/>
    <mergeCell ref="B10:J10"/>
    <mergeCell ref="K10:Z10"/>
    <mergeCell ref="A11:A12"/>
    <mergeCell ref="A16:Z16"/>
    <mergeCell ref="B17:Z17"/>
    <mergeCell ref="A1:Z1"/>
    <mergeCell ref="A2:Z2"/>
    <mergeCell ref="B3:Z3"/>
    <mergeCell ref="B4:J4"/>
    <mergeCell ref="K4:Z4"/>
    <mergeCell ref="A5:A6"/>
  </mergeCells>
  <dataValidations count="4">
    <dataValidation type="list" allowBlank="1" showErrorMessage="1" sqref="J33 J40 J102 J109:J159 J289:J290 J296:J297 J303:J304 J311:J328 J359:J365" xr:uid="{0C5AC1F2-5A57-4C7A-B59C-DAB5074E277A}">
      <formula1>"Kepala Rumah Tangga,Ibu Rumah Tangga,Anak"</formula1>
    </dataValidation>
    <dataValidation type="list" allowBlank="1" showErrorMessage="1" sqref="D6 D12 D20 D26 D33 D40 D48:D95 D102 D109:D159 D165:D215 D222:D226 D232:D282 D289:D290 D296:D297 D303:D304 D311:D353 D359:D365" xr:uid="{193B2A2C-D201-4DE9-A9F9-F560054C1FE4}">
      <formula1>"laki-laki,Perempuan"</formula1>
    </dataValidation>
    <dataValidation type="list" allowBlank="1" showErrorMessage="1" sqref="J6 J12 J20 J26 J329:J353" xr:uid="{D5250701-0334-4712-BD66-6083B8718CF5}">
      <formula1>"Kepala Rumah Tangga,Ibu Rumah Tangga,Anak,Anggota Rumah Tangga"</formula1>
    </dataValidation>
    <dataValidation type="list" allowBlank="1" showErrorMessage="1" sqref="H6 H12 H20 H26 H33 H40 H48:H95 H102 H109:H159 H165:H215 H222:H226 H232:H282 H289:H290 H296:H297 H303:H304 H311:H353 H359:H365" xr:uid="{DF2E54F0-2189-49B0-A41B-BEB1CFE7D60A}">
      <formula1>"SD,SMP,SMA,D3,S1,S2"</formula1>
    </dataValidation>
  </dataValidations>
  <hyperlinks>
    <hyperlink ref="U40" r:id="rId1" xr:uid="{749A6268-64C6-4F9B-BD7C-F76943DC09B4}"/>
    <hyperlink ref="U109" r:id="rId2" xr:uid="{72FE346F-21D5-4A92-82EF-535FF708DFFE}"/>
    <hyperlink ref="U112" r:id="rId3" xr:uid="{F1AD0BCB-E572-4751-A1B4-66A021F3188C}"/>
    <hyperlink ref="U113" r:id="rId4" xr:uid="{99F4BC70-1C29-4283-BB7A-93B751D182DB}"/>
    <hyperlink ref="U114" r:id="rId5" xr:uid="{D5E60FEA-5D8A-4EEC-BEAA-98A3608335A5}"/>
    <hyperlink ref="U115" r:id="rId6" xr:uid="{5CDA3C03-AF48-4A1F-BF38-1D0B2C01C5B4}"/>
    <hyperlink ref="U118" r:id="rId7" xr:uid="{BD380566-7ACA-4E4D-B657-5C370DACC4B9}"/>
    <hyperlink ref="U119" r:id="rId8" xr:uid="{EE5137D9-8D65-4C9E-A10D-0F36E8AA1A6F}"/>
    <hyperlink ref="U120" r:id="rId9" xr:uid="{1D234E0F-AF29-43DB-B9E1-37FF550A9F17}"/>
    <hyperlink ref="U121" r:id="rId10" xr:uid="{F675EA29-641C-4FFC-98B7-29846F28C18D}"/>
    <hyperlink ref="U124" r:id="rId11" xr:uid="{4B4B2BE3-6E7E-4BB2-8F93-F9120A57F12A}"/>
    <hyperlink ref="U125" r:id="rId12" xr:uid="{68CEBEA1-41E3-4BA7-9999-D59BAD09BFE8}"/>
    <hyperlink ref="U126" r:id="rId13" xr:uid="{731B71A3-3B35-4022-8575-7C77B8AE3E87}"/>
    <hyperlink ref="U127" r:id="rId14" xr:uid="{E7CB3E3B-1BBD-45D9-AA9B-C6436582D02B}"/>
    <hyperlink ref="U130" r:id="rId15" xr:uid="{F0E7B4B5-E4B7-478C-97D8-B058EC388BA2}"/>
    <hyperlink ref="U131" r:id="rId16" xr:uid="{5F0D86A9-15A3-4CE9-9EFC-FA3882ACD3ED}"/>
    <hyperlink ref="U132" r:id="rId17" xr:uid="{1A464541-8746-4065-A871-2D616F477960}"/>
    <hyperlink ref="U133" r:id="rId18" xr:uid="{6C26D033-9BCE-4DEA-B6FB-220BD24C03AC}"/>
    <hyperlink ref="U136" r:id="rId19" xr:uid="{4333245D-0D12-4B59-A507-06E6751BB145}"/>
    <hyperlink ref="U137" r:id="rId20" xr:uid="{616D7EDB-7FE4-44A7-9346-3440B177954F}"/>
    <hyperlink ref="U138" r:id="rId21" xr:uid="{587273A3-AD20-4AED-8A56-250ECD270EEF}"/>
    <hyperlink ref="U139" r:id="rId22" xr:uid="{B85BE6B1-E87E-4589-A237-34994A76AFAC}"/>
    <hyperlink ref="U142" r:id="rId23" xr:uid="{9673C3F5-7BC1-4FDA-AF0A-93C01A03EF85}"/>
    <hyperlink ref="U143" r:id="rId24" xr:uid="{869213FE-5F6E-4FC1-9054-F9704C280C38}"/>
    <hyperlink ref="U144" r:id="rId25" xr:uid="{A8153485-9532-4192-914C-4F3DC6C8C198}"/>
    <hyperlink ref="U145" r:id="rId26" xr:uid="{51506396-D8FB-4C2F-ACE5-690511305D7B}"/>
    <hyperlink ref="U148" r:id="rId27" xr:uid="{8A47A77C-9A78-4BDF-B0A7-A6B3EDA24076}"/>
    <hyperlink ref="U149" r:id="rId28" xr:uid="{7A3AF01E-DC39-44C3-9DC3-8867681857C0}"/>
    <hyperlink ref="U150" r:id="rId29" xr:uid="{F5236F2C-34BF-4299-9708-9BF94FB845A4}"/>
    <hyperlink ref="U151" r:id="rId30" xr:uid="{9555F35C-3BB3-435E-9BBA-1825FF02BDFC}"/>
    <hyperlink ref="U154" r:id="rId31" xr:uid="{E807D702-CB04-4BA0-8799-16D6C379DB60}"/>
    <hyperlink ref="U155" r:id="rId32" xr:uid="{10C12DED-55D1-4F15-BA16-052FDF699786}"/>
    <hyperlink ref="U156" r:id="rId33" xr:uid="{7D0E9956-3E91-49EE-AA8D-A9142C799AB7}"/>
    <hyperlink ref="U157" r:id="rId34" xr:uid="{914D8425-CE4A-4F87-82CB-7805C073BD21}"/>
    <hyperlink ref="U165" r:id="rId35" xr:uid="{3A24BFD2-DA98-4973-A922-47AAD95B7868}"/>
    <hyperlink ref="U168" r:id="rId36" xr:uid="{932E6893-1641-4C67-870D-180DD61315C3}"/>
    <hyperlink ref="U171" r:id="rId37" xr:uid="{5A0DA77D-A42A-411E-90B0-F9D0266B4DBB}"/>
    <hyperlink ref="U174" r:id="rId38" xr:uid="{4119D5EF-2E76-4BFB-8B3B-C88C819450BE}"/>
    <hyperlink ref="U177" r:id="rId39" xr:uid="{09D726A7-0BA1-4C90-8A6F-1DF087E8FAA8}"/>
    <hyperlink ref="U180" r:id="rId40" xr:uid="{D445AD83-27E9-4199-B118-2AD6EBC7E7BC}"/>
    <hyperlink ref="U183" r:id="rId41" xr:uid="{A690CDDC-F696-409F-BE92-8C777A5EDC81}"/>
    <hyperlink ref="U186" r:id="rId42" xr:uid="{44FD45BD-0409-43B1-9A7B-10D630108066}"/>
    <hyperlink ref="U189" r:id="rId43" xr:uid="{A2B29D80-2D02-4067-B673-E8D96B21365E}"/>
    <hyperlink ref="U192" r:id="rId44" xr:uid="{22AC2285-1DE9-4404-8668-BCFFB7B59659}"/>
    <hyperlink ref="U195" r:id="rId45" xr:uid="{3FA428C8-DABD-43CD-8AE4-821D942323E1}"/>
    <hyperlink ref="U198" r:id="rId46" xr:uid="{8F42D105-A942-4F82-ABF5-0356CF3FE1F5}"/>
    <hyperlink ref="U201" r:id="rId47" xr:uid="{6C218B7F-0EC7-43E9-A268-C8DE7718EE38}"/>
    <hyperlink ref="U204" r:id="rId48" xr:uid="{6417158B-606C-4A0B-9C1D-7070B814E1FA}"/>
    <hyperlink ref="U207" r:id="rId49" xr:uid="{E5605C55-4108-4002-BD93-52D6F1A04200}"/>
    <hyperlink ref="U210" r:id="rId50" xr:uid="{7324CF79-F525-456E-9561-BFAE5DDE2DE8}"/>
    <hyperlink ref="U213" r:id="rId51" xr:uid="{0E40B0D8-CB97-4F2F-851E-9614D6432DAE}"/>
  </hyperlinks>
  <pageMargins left="0.7" right="0.7" top="0.75" bottom="0.75" header="0.3" footer="0.3"/>
  <tableParts count="5">
    <tablePart r:id="rId52"/>
    <tablePart r:id="rId53"/>
    <tablePart r:id="rId54"/>
    <tablePart r:id="rId55"/>
    <tablePart r:id="rId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ale</dc:creator>
  <cp:lastModifiedBy>ian ale</cp:lastModifiedBy>
  <dcterms:created xsi:type="dcterms:W3CDTF">2015-06-05T18:17:20Z</dcterms:created>
  <dcterms:modified xsi:type="dcterms:W3CDTF">2026-07-22T00:03:03Z</dcterms:modified>
</cp:coreProperties>
</file>